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reas" state="visible" r:id="rId4"/>
    <sheet sheetId="2" name="Modulos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<sst xmlns="http://schemas.openxmlformats.org/spreadsheetml/2006/main" count="1248" uniqueCount="461">
  <si>
    <t>ID</t>
  </si>
  <si>
    <t>Fase</t>
  </si>
  <si>
    <t>Sprint</t>
  </si>
  <si>
    <t>Semana</t>
  </si>
  <si>
    <t>Modulo</t>
  </si>
  <si>
    <t>Submodulo</t>
  </si>
  <si>
    <t>Tarea</t>
  </si>
  <si>
    <t>Responsable</t>
  </si>
  <si>
    <t>Horas</t>
  </si>
  <si>
    <t>Prioridad</t>
  </si>
  <si>
    <t>Estado</t>
  </si>
  <si>
    <t>GitLabURL</t>
  </si>
  <si>
    <t>M42-FE</t>
  </si>
  <si>
    <t>SPRINT 1 (Semana 1): COMPLETAR MÓDULOS PARTIAL - Frontend faltante</t>
  </si>
  <si>
    <t>Semana 1</t>
  </si>
  <si>
    <t>payment-requests</t>
  </si>
  <si>
    <t>Frontend</t>
  </si>
  <si>
    <t>Crear página dedicada para payment-requests</t>
  </si>
  <si>
    <t>FE1</t>
  </si>
  <si>
    <t>ALTA</t>
  </si>
  <si>
    <t>EN_PROGRESO</t>
  </si>
  <si>
    <t/>
  </si>
  <si>
    <t>M43-FE</t>
  </si>
  <si>
    <t>ai-gerente</t>
  </si>
  <si>
    <t>Crear página frontend para AI Gerente</t>
  </si>
  <si>
    <t>PENDIENTE</t>
  </si>
  <si>
    <t>M43-SVC</t>
  </si>
  <si>
    <t>Service</t>
  </si>
  <si>
    <t>Crear AiGerente.service.ts en frontend</t>
  </si>
  <si>
    <t>FE2</t>
  </si>
  <si>
    <t>M44-FE</t>
  </si>
  <si>
    <t>marketing</t>
  </si>
  <si>
    <t>Crear página frontend para Marketing</t>
  </si>
  <si>
    <t>M44-SVC</t>
  </si>
  <si>
    <t>Crear Marketing.service.ts en frontend</t>
  </si>
  <si>
    <t>M45-SVC</t>
  </si>
  <si>
    <t>auditlog</t>
  </si>
  <si>
    <t>Crear AuditLog.service.ts dedicado (hoy en super-admin)</t>
  </si>
  <si>
    <t>M46-FE</t>
  </si>
  <si>
    <t>pushtokens</t>
  </si>
  <si>
    <t>Crear UI para gestión de push tokens</t>
  </si>
  <si>
    <t>MEDIA</t>
  </si>
  <si>
    <t>QC-01</t>
  </si>
  <si>
    <t>Calidad</t>
  </si>
  <si>
    <t>Review</t>
  </si>
  <si>
    <t>Code review y merge de partial fixes</t>
  </si>
  <si>
    <t>ARQ</t>
  </si>
  <si>
    <t>T-01</t>
  </si>
  <si>
    <t>SPRINT 2 (Semana 2): TEST COVERAGE - Elevar tests de módulos con 1 solo test</t>
  </si>
  <si>
    <t>Semana 2</t>
  </si>
  <si>
    <t>Tests</t>
  </si>
  <si>
    <t>habitaciones</t>
  </si>
  <si>
    <t>Agregar tests de integración para habitaciones</t>
  </si>
  <si>
    <t>QA</t>
  </si>
  <si>
    <t>T-02</t>
  </si>
  <si>
    <t>huespedes</t>
  </si>
  <si>
    <t>Agregar tests de integración para huéspedes</t>
  </si>
  <si>
    <t>T-03</t>
  </si>
  <si>
    <t>admin</t>
  </si>
  <si>
    <t>Agregar tests de panel admin</t>
  </si>
  <si>
    <t>T-04</t>
  </si>
  <si>
    <t>roles</t>
  </si>
  <si>
    <t>Agregar tests de roles y permisos</t>
  </si>
  <si>
    <t>T-05</t>
  </si>
  <si>
    <t>dashboard</t>
  </si>
  <si>
    <t>Agregar tests de dashboard endpoints</t>
  </si>
  <si>
    <t>T-06</t>
  </si>
  <si>
    <t>staff-auth</t>
  </si>
  <si>
    <t>Agregar tests de autenticación (login/logout/refresh)</t>
  </si>
  <si>
    <t>T-07</t>
  </si>
  <si>
    <t>paquetes</t>
  </si>
  <si>
    <t>Agregar tests CRUD paquetes</t>
  </si>
  <si>
    <t>BAJA</t>
  </si>
  <si>
    <t>T-08</t>
  </si>
  <si>
    <t>gastos</t>
  </si>
  <si>
    <t>Agregar tests gastos</t>
  </si>
  <si>
    <t>T-09</t>
  </si>
  <si>
    <t>opiniones</t>
  </si>
  <si>
    <t>Agregar tests opiniones</t>
  </si>
  <si>
    <t>T-10</t>
  </si>
  <si>
    <t>activos</t>
  </si>
  <si>
    <t>Agregar tests activos fijos</t>
  </si>
  <si>
    <t>T-11</t>
  </si>
  <si>
    <t>reembolsos</t>
  </si>
  <si>
    <t>Agregar tests reembolsos</t>
  </si>
  <si>
    <t>T-12</t>
  </si>
  <si>
    <t>amenities</t>
  </si>
  <si>
    <t>Agregar tests amenities</t>
  </si>
  <si>
    <t>T-13</t>
  </si>
  <si>
    <t>SPRINT 3 (Semana 3): TEST COVERAGE - Módulos con 1 test (parte 2) + Conectores</t>
  </si>
  <si>
    <t>Semana 3</t>
  </si>
  <si>
    <t>reclutamiento</t>
  </si>
  <si>
    <t>Agregar tests reclutamiento</t>
  </si>
  <si>
    <t>T-14</t>
  </si>
  <si>
    <t>feedback</t>
  </si>
  <si>
    <t>Agregar tests feedback</t>
  </si>
  <si>
    <t>T-15</t>
  </si>
  <si>
    <t>anuncios</t>
  </si>
  <si>
    <t>Agregar tests anuncios</t>
  </si>
  <si>
    <t>T-16</t>
  </si>
  <si>
    <t>apikeys</t>
  </si>
  <si>
    <t>Agregar tests API Keys</t>
  </si>
  <si>
    <t>T-17</t>
  </si>
  <si>
    <t>pricing</t>
  </si>
  <si>
    <t>Agregar tests pricing (reglas de precio, temporadas)</t>
  </si>
  <si>
    <t>T-18</t>
  </si>
  <si>
    <t>tickets</t>
  </si>
  <si>
    <t>Agregar tests tickets de soporte</t>
  </si>
  <si>
    <t>T-19</t>
  </si>
  <si>
    <t>grupos</t>
  </si>
  <si>
    <t>Agregar tests grupos</t>
  </si>
  <si>
    <t>T-20</t>
  </si>
  <si>
    <t>dispositivos</t>
  </si>
  <si>
    <t>Agregar tests dispositivos</t>
  </si>
  <si>
    <t>T-21</t>
  </si>
  <si>
    <t>bookingengine</t>
  </si>
  <si>
    <t>Agregar tests booking engine (widget + webhook)</t>
  </si>
  <si>
    <t>T-22</t>
  </si>
  <si>
    <t>messages</t>
  </si>
  <si>
    <t>Agregar tests mensajería</t>
  </si>
  <si>
    <t>T-23</t>
  </si>
  <si>
    <t>ai-recepcionista</t>
  </si>
  <si>
    <t>Agregar tests AI recepcionista</t>
  </si>
  <si>
    <t>TC-01</t>
  </si>
  <si>
    <t>Conectores</t>
  </si>
  <si>
    <t>Agregar tests para conectores reservas-* (6 conectores)</t>
  </si>
  <si>
    <t>FS</t>
  </si>
  <si>
    <t>TC-02</t>
  </si>
  <si>
    <t>SPRINT 4 (Semana 4): TEST COVERAGE - Conectores + Tests fronend</t>
  </si>
  <si>
    <t>Semana 4</t>
  </si>
  <si>
    <t>Agregar tests conectores financieros (facturas-*, folios-*, payments-*)</t>
  </si>
  <si>
    <t>TC-03</t>
  </si>
  <si>
    <t>Agregar tests conectores operativos (housekeeping-*, mantenimiento-*)</t>
  </si>
  <si>
    <t>TC-04</t>
  </si>
  <si>
    <t>Agregar tests conectores RRHH (attendance-* payroll-*)</t>
  </si>
  <si>
    <t>TF-01</t>
  </si>
  <si>
    <t>Agregar tests unitarios a stores Pinia</t>
  </si>
  <si>
    <t>TF-02</t>
  </si>
  <si>
    <t>Agregar tests a servicios frontend (facturas, reservas, auth)</t>
  </si>
  <si>
    <t>DT-01</t>
  </si>
  <si>
    <t>SPRINT 5 (Semana 5): DEUDA TÉCNICA - ORM + Fiscal</t>
  </si>
  <si>
    <t>Semana 5</t>
  </si>
  <si>
    <t>Deuda</t>
  </si>
  <si>
    <t>ORM</t>
  </si>
  <si>
    <t>Auditar todos los modelos ORM vs campos usados en services/DTOs (anti-patrón descarte silencioso)</t>
  </si>
  <si>
    <t>CRITICA</t>
  </si>
  <si>
    <t>DT-02</t>
  </si>
  <si>
    <t>Fixear campos faltantes en modelos ORM detectados en auditoría</t>
  </si>
  <si>
    <t>BE1</t>
  </si>
  <si>
    <t>DT-03</t>
  </si>
  <si>
    <t>Fiscal</t>
  </si>
  <si>
    <t>Cablear fiscal.ts (buildNcf) para que NCF solo se emita si electronic_invoicing.enabled=true</t>
  </si>
  <si>
    <t>DT-04</t>
  </si>
  <si>
    <t>Facturas</t>
  </si>
  <si>
    <t>Agregar guard condicional en borrado de facturas: si NCF emitido o pagada -&gt; solo nota de crédito</t>
  </si>
  <si>
    <t>BE2</t>
  </si>
  <si>
    <t>DT-05</t>
  </si>
  <si>
    <t>Reports</t>
  </si>
  <si>
    <t>Verificar que stats.ts filtre type=invoice (no duplicar ingresos con type=payment)</t>
  </si>
  <si>
    <t>DT-06</t>
  </si>
  <si>
    <t>SPRINT 6 (Semana 6): DEUDA TÉCNICA - Frontend + Service Worker</t>
  </si>
  <si>
    <t>Semana 6</t>
  </si>
  <si>
    <t>Reactivar Service Worker (PC-4) con network-first + bypass /api/*</t>
  </si>
  <si>
    <t>DT-07</t>
  </si>
  <si>
    <t>Fixear búsqueda de facturas (?search=) para filtrar en backend (hoy filtra página actual)</t>
  </si>
  <si>
    <t>DT-08</t>
  </si>
  <si>
    <t>Eliminar duplicación de cálculo de impuesto en billing/index.vue (hoy frontend y backend calculan por separado)</t>
  </si>
  <si>
    <t>DT-09</t>
  </si>
  <si>
    <t>Reemplazar window.prompt en emailInvoice() con modal con validación de email</t>
  </si>
  <si>
    <t>DT-10</t>
  </si>
  <si>
    <t>Settlement</t>
  </si>
  <si>
    <t>Fixear settle-folio-at-checkout: cuando amount&lt;=0 cerrar folio sin invoice</t>
  </si>
  <si>
    <t>DT-11</t>
  </si>
  <si>
    <t>Cache</t>
  </si>
  <si>
    <t>Auditar claves de caché en facturas y folios (cache.ts: version token vs clave fija)</t>
  </si>
  <si>
    <t>CH-01</t>
  </si>
  <si>
    <t>SPRINT 7 (Semana 7): INTEGRACIONES - Channex Certification</t>
  </si>
  <si>
    <t>Semana 7</t>
  </si>
  <si>
    <t>Canales</t>
  </si>
  <si>
    <t>Channex</t>
  </si>
  <si>
    <t>Completar feed de reservas Channex (30-min window ack)</t>
  </si>
  <si>
    <t>CH-02</t>
  </si>
  <si>
    <t>Manejar test bookings desde Channex dashboard</t>
  </si>
  <si>
    <t>CH-03</t>
  </si>
  <si>
    <t>Resolver rate mapping (int codes, per-person rates array)</t>
  </si>
  <si>
    <t>CH-04</t>
  </si>
  <si>
    <t>Proceso de certificación Channex (PMS certification)</t>
  </si>
  <si>
    <t>CH-05</t>
  </si>
  <si>
    <t>Configurar health-check doctor.ts para Channex (existe stub)</t>
  </si>
  <si>
    <t>ST-01</t>
  </si>
  <si>
    <t>SPRINT 8 (Semana 8): INTEGRACIONES - Stripe + TTLock + Email</t>
  </si>
  <si>
    <t>Semana 8</t>
  </si>
  <si>
    <t>Pagos</t>
  </si>
  <si>
    <t>Stripe</t>
  </si>
  <si>
    <t>Agregar manejo de errores de webhook Stripe (timeouts, retry)</t>
  </si>
  <si>
    <t>ST-02</t>
  </si>
  <si>
    <t>Agregar logs de auditoría para transacciones Stripe</t>
  </si>
  <si>
    <t>ST-03</t>
  </si>
  <si>
    <t>Verificar checkout sessions funcionando (PC-3.1.2 cumple)</t>
  </si>
  <si>
    <t>TT-01</t>
  </si>
  <si>
    <t>TTLock</t>
  </si>
  <si>
    <t>Cerraduras</t>
  </si>
  <si>
    <t>Agregar edge cases: código duplicado, lock offline, reintentos,TTLock</t>
  </si>
  <si>
    <t>TT-02</t>
  </si>
  <si>
    <t>Frontend: mostrar estado de cada cerradura en tiempo real</t>
  </si>
  <si>
    <t>EM-01</t>
  </si>
  <si>
    <t>Email</t>
  </si>
  <si>
    <t>Notificaciones</t>
  </si>
  <si>
    <t>Refinar templates de email (check-in, factura, recordatorio)</t>
  </si>
  <si>
    <t>EM-02</t>
  </si>
  <si>
    <t>Agregar cola de reintentos para emails fallidos</t>
  </si>
  <si>
    <t>UI-01</t>
  </si>
  <si>
    <t>SPRINT 9 (Semana 9): FRONTEND POLISH - Estados UI</t>
  </si>
  <si>
    <t>Semana 9</t>
  </si>
  <si>
    <t>Estados</t>
  </si>
  <si>
    <t>Agregar estados de carga (skeleton/spinner) a TODAS las páginas</t>
  </si>
  <si>
    <t>UI-02</t>
  </si>
  <si>
    <t>Agregar estados vacíos (empty state con CTA) a listados</t>
  </si>
  <si>
    <t>UI-03</t>
  </si>
  <si>
    <t>Agregar manejo de errores en llamadas API por página</t>
  </si>
  <si>
    <t>UI-04</t>
  </si>
  <si>
    <t>Estandarizar validación de formularios en todas las páginas</t>
  </si>
  <si>
    <t>UI-05</t>
  </si>
  <si>
    <t>Agregar confirmación antes de acciones destructivas (delete, cancel)</t>
  </si>
  <si>
    <t>UI-06</t>
  </si>
  <si>
    <t>Toast</t>
  </si>
  <si>
    <t>Centralizar notificaciones toast en todas las operaciones CRUD</t>
  </si>
  <si>
    <t>UI-07</t>
  </si>
  <si>
    <t>SPRINT 10 (Semana 10): FRONTEND POLISH - Responsive + Dark Mode</t>
  </si>
  <si>
    <t>Semana 10</t>
  </si>
  <si>
    <t>Responsive</t>
  </si>
  <si>
    <t>Auditar y corregir responsive en móvil (375px) para todas las páginas</t>
  </si>
  <si>
    <t>UI-08</t>
  </si>
  <si>
    <t>Corregir tablas con overflow en mobile (scroll horizontal)</t>
  </si>
  <si>
    <t>UI-09</t>
  </si>
  <si>
    <t>Dark Mode</t>
  </si>
  <si>
    <t>Estandarizar dark mode en todas las páginas y componentes</t>
  </si>
  <si>
    <t>UI-10</t>
  </si>
  <si>
    <t>Verificar contraste y accesibilidad en dark mode</t>
  </si>
  <si>
    <t>UI-11</t>
  </si>
  <si>
    <t>Navegación</t>
  </si>
  <si>
    <t>Agregar breadcrumbs a páginas con profundidad &gt; 1</t>
  </si>
  <si>
    <t>PF-01</t>
  </si>
  <si>
    <t>SPRINT 11 (Semana 11): PERFORMANCE</t>
  </si>
  <si>
    <t>Semana 11</t>
  </si>
  <si>
    <t>Performance</t>
  </si>
  <si>
    <t>Queries</t>
  </si>
  <si>
    <t>Auditar N+1 queries en módulos principales (reservas, facturas, folios)</t>
  </si>
  <si>
    <t>PF-02</t>
  </si>
  <si>
    <t>Optimizar consultas detectadas (eager loading, índices)</t>
  </si>
  <si>
    <t>DBA</t>
  </si>
  <si>
    <t>PF-03</t>
  </si>
  <si>
    <t>Implementar Redis o cache en memoria para consultas frecuentes</t>
  </si>
  <si>
    <t>PF-04</t>
  </si>
  <si>
    <t>Implementar lazy loading de rutas Vue</t>
  </si>
  <si>
    <t>PF-05</t>
  </si>
  <si>
    <t>Optimizar tamaño de bundle (code splitting, tree shaking)</t>
  </si>
  <si>
    <t>SC-01</t>
  </si>
  <si>
    <t>SPRINT 12 (Semana 12): SEGURIDAD</t>
  </si>
  <si>
    <t>Semana 12</t>
  </si>
  <si>
    <t>Seguridad</t>
  </si>
  <si>
    <t>Auth</t>
  </si>
  <si>
    <t>Auditar rate limiting por endpoint (hoy rate-limit.ts existe, verificar config)</t>
  </si>
  <si>
    <t>SC-02</t>
  </si>
  <si>
    <t>Agregar rate limiting a endpoints de login y creación de usuarios</t>
  </si>
  <si>
    <t>SC-03</t>
  </si>
  <si>
    <t>Permisos</t>
  </si>
  <si>
    <t>Testear todos los permission guards (que cada endpoint exija el permiso correcto)</t>
  </si>
  <si>
    <t>SC-04</t>
  </si>
  <si>
    <t>Verificar que admin endpoints tengan requireUserType('admin')</t>
  </si>
  <si>
    <t>SC-05</t>
  </si>
  <si>
    <t>Auditoría</t>
  </si>
  <si>
    <t>Agregar auditlog a operaciones sensibles (borrados, cambios de rol, pagos)</t>
  </si>
  <si>
    <t>SC-06</t>
  </si>
  <si>
    <t>OWASP</t>
  </si>
  <si>
    <t>Revisar OWASP Top 10: XSS, CSRF, SQLi, IDOR en módulos críticos</t>
  </si>
  <si>
    <t>QA-01</t>
  </si>
  <si>
    <t>SPRINT 13 (Semana 13): QA INTEGRACIÓN + E2E</t>
  </si>
  <si>
    <t>Semana 13</t>
  </si>
  <si>
    <t>Integración</t>
  </si>
  <si>
    <t>Test de flujo completo: crear reserva -&gt; check-in -&gt; cargos folio -&gt; check-out -&gt; factura -&gt; pago</t>
  </si>
  <si>
    <t>QA-02</t>
  </si>
  <si>
    <t>Test de flujo canales: crear reserva -&gt; push a Channex -&gt; recibir booking desde OTA</t>
  </si>
  <si>
    <t>QA-03</t>
  </si>
  <si>
    <t>Test de flujo TTLock: check-in -&gt; genera código -&gt; check-out -&gt; revoca código</t>
  </si>
  <si>
    <t>QA-04</t>
  </si>
  <si>
    <t>Test de flujo financiero: pago Stripe -&gt; webhook -&gt; actualiza factura -&gt; caja</t>
  </si>
  <si>
    <t>QA-05</t>
  </si>
  <si>
    <t>Test de night audit: ejecución nocturna, mark-no-shows, post room charges</t>
  </si>
  <si>
    <t>QA-06</t>
  </si>
  <si>
    <t>SPRINT 14 (Semana 14): QA CARGA + REGRESIÓN</t>
  </si>
  <si>
    <t>Semana 14</t>
  </si>
  <si>
    <t>Carga</t>
  </si>
  <si>
    <t>Prueba de carga con 100 reservas concurrentes</t>
  </si>
  <si>
    <t>QA-07</t>
  </si>
  <si>
    <t>Prueba de carga con 1000 huespedes en base</t>
  </si>
  <si>
    <t>QA-08</t>
  </si>
  <si>
    <t>Verificar tiempos de respuesta &lt; 200ms en endpoints críticos</t>
  </si>
  <si>
    <t>QA-09</t>
  </si>
  <si>
    <t>Regresión</t>
  </si>
  <si>
    <t>Ejecutar batería completa de tests (101 existentes + nuevos)</t>
  </si>
  <si>
    <t>QA-10</t>
  </si>
  <si>
    <t>Verificar arckode analyze 0 violaciones (GATE BLOQUEANTE)</t>
  </si>
  <si>
    <t>QA-11</t>
  </si>
  <si>
    <t>Verificar vue-tsc --noEmit + bun run build frontend</t>
  </si>
  <si>
    <t>DOC-01</t>
  </si>
  <si>
    <t>SPRINT 15 (Semana 15-16): DOCUMENTACIÓN + DEPLOY</t>
  </si>
  <si>
    <t>Semana 15</t>
  </si>
  <si>
    <t>Documentación</t>
  </si>
  <si>
    <t>API</t>
  </si>
  <si>
    <t>Generar documentación de endpoints REST (OpenAPI/Swagger)</t>
  </si>
  <si>
    <t>DOC-02</t>
  </si>
  <si>
    <t>Arquitectura</t>
  </si>
  <si>
    <t>Actualizar ARCHITECTURE.md con estado real</t>
  </si>
  <si>
    <t>DOC-03</t>
  </si>
  <si>
    <t>Deploy</t>
  </si>
  <si>
    <t>Crear runbook de deploy (comandos, SSH, systemd, nginx)</t>
  </si>
  <si>
    <t>DEV</t>
  </si>
  <si>
    <t>DOC-04</t>
  </si>
  <si>
    <t>Documentar backup/restore de BD (SQLite dev + PG prod)</t>
  </si>
  <si>
    <t>DEP-01</t>
  </si>
  <si>
    <t>Semana 16</t>
  </si>
  <si>
    <t>Producción</t>
  </si>
  <si>
    <t>Deploy a producción hotel.zx89.site (git pull + bun install + restart)</t>
  </si>
  <si>
    <t>DEP-02</t>
  </si>
  <si>
    <t>Verificar login con usuarios demo en producción</t>
  </si>
  <si>
    <t>DEP-03</t>
  </si>
  <si>
    <t>Verificar Stripe webhooks en producción</t>
  </si>
  <si>
    <t>DEP-04</t>
  </si>
  <si>
    <t>Verificar Channex en producción (certificación completa)</t>
  </si>
  <si>
    <t>DEP-05</t>
  </si>
  <si>
    <t>Configurar monitoreo (logs, alertas, health-checks)</t>
  </si>
  <si>
    <t>DEP-06</t>
  </si>
  <si>
    <t>Configurar backups automáticos BD (cron diario)</t>
  </si>
  <si>
    <t>Madurez</t>
  </si>
  <si>
    <t>Descripcion</t>
  </si>
  <si>
    <t>Archivos</t>
  </si>
  <si>
    <t>Rutas</t>
  </si>
  <si>
    <t>M01</t>
  </si>
  <si>
    <t>reservas</t>
  </si>
  <si>
    <t>MATURE</t>
  </si>
  <si>
    <t>Sistema de reservas completo (30 archivos, 3 tests, 23 rutas)</t>
  </si>
  <si>
    <t>M02</t>
  </si>
  <si>
    <t>facturas</t>
  </si>
  <si>
    <t>Facturación completa (29 archivos, 5 tests, 12 rutas)</t>
  </si>
  <si>
    <t>M03</t>
  </si>
  <si>
    <t>empleados</t>
  </si>
  <si>
    <t>Empleados completo (24 archivos, 4 tests, 59 rutas)</t>
  </si>
  <si>
    <t>M04</t>
  </si>
  <si>
    <t>housekeeping</t>
  </si>
  <si>
    <t>Housekeeping completo (23 archivos, 5 tests, 24 rutas)</t>
  </si>
  <si>
    <t>M05</t>
  </si>
  <si>
    <t>reports</t>
  </si>
  <si>
    <t>Reportes completo (24 archivos, 4 tests, 5 rutas)</t>
  </si>
  <si>
    <t>M06</t>
  </si>
  <si>
    <t>payroll</t>
  </si>
  <si>
    <t>Nómina completa (19 archivos, 5 tests, 17 rutas)</t>
  </si>
  <si>
    <t>M07</t>
  </si>
  <si>
    <t>folios</t>
  </si>
  <si>
    <t>Folios completo (19 archivos, 2 tests, 8 rutas)</t>
  </si>
  <si>
    <t>M08</t>
  </si>
  <si>
    <t>payments</t>
  </si>
  <si>
    <t>Pagos completo (16 archivos, 3 tests, 16 rutas)</t>
  </si>
  <si>
    <t>M09</t>
  </si>
  <si>
    <t>canales</t>
  </si>
  <si>
    <t>Channel Manager completo (17 archivos, 1 test, 18 rutas)</t>
  </si>
  <si>
    <t>M10</t>
  </si>
  <si>
    <t>crm</t>
  </si>
  <si>
    <t>CRM completo (15 archivos, 4 tests, 13 rutas)</t>
  </si>
  <si>
    <t>M11</t>
  </si>
  <si>
    <t>usuarios</t>
  </si>
  <si>
    <t>Usuarios completo (14 archivos, 4 tests, 15 rutas)</t>
  </si>
  <si>
    <t>M12</t>
  </si>
  <si>
    <t>mantenimiento</t>
  </si>
  <si>
    <t>Mantenimiento completo (14 archivos, 1 test, 12 rutas)</t>
  </si>
  <si>
    <t>M13</t>
  </si>
  <si>
    <t>cash</t>
  </si>
  <si>
    <t>Caja completo (13 archivos, 2 tests, 11 rutas)</t>
  </si>
  <si>
    <t>M14</t>
  </si>
  <si>
    <t>hoteles</t>
  </si>
  <si>
    <t>Hoteles completo (13 archivos, 2 tests, 10 rutas)</t>
  </si>
  <si>
    <t>M15</t>
  </si>
  <si>
    <t>Booking Engine completo (14 archivos, 1 test, 13 rutas)</t>
  </si>
  <si>
    <t>M16</t>
  </si>
  <si>
    <t>attendance</t>
  </si>
  <si>
    <t>Asistencia completa (12 archivos, 3 tests, 18 rutas)</t>
  </si>
  <si>
    <t>M17</t>
  </si>
  <si>
    <t>Mensajería completa (11 archivos, 1 test, 9 rutas)</t>
  </si>
  <si>
    <t>M18</t>
  </si>
  <si>
    <t>AI Recepcionista completo (22 archivos, 1 test, 26 rutas)</t>
  </si>
  <si>
    <t>M19</t>
  </si>
  <si>
    <t>DONE</t>
  </si>
  <si>
    <t>Habitaciones (8 archivos, 1 test, 6 rutas) — faltan usecases</t>
  </si>
  <si>
    <t>M20</t>
  </si>
  <si>
    <t>Huéspedes (8 archivos, 1 test, 5 rutas) — faltan usecases</t>
  </si>
  <si>
    <t>M21</t>
  </si>
  <si>
    <t>Admin (10 archivos, 1 test, 16 rutas)</t>
  </si>
  <si>
    <t>M22</t>
  </si>
  <si>
    <t>ttlock</t>
  </si>
  <si>
    <t>TTLock (11 archivos, 2 tests, 8 rutas)</t>
  </si>
  <si>
    <t>M23</t>
  </si>
  <si>
    <t>Roles (8 archivos, 1 test, 6 rutas)</t>
  </si>
  <si>
    <t>M24</t>
  </si>
  <si>
    <t>Dashboard (10 archivos, 1 test, 3 rutas)</t>
  </si>
  <si>
    <t>M25</t>
  </si>
  <si>
    <t>Staff Auth (8 archivos, 1 test, 3 rutas)</t>
  </si>
  <si>
    <t>M26</t>
  </si>
  <si>
    <t>Paquetes (8 archivos, 1 test, 5 rutas)</t>
  </si>
  <si>
    <t>M27</t>
  </si>
  <si>
    <t>Gastos (8 archivos, 1 test, 5 rutas)</t>
  </si>
  <si>
    <t>M28</t>
  </si>
  <si>
    <t>notificaciones</t>
  </si>
  <si>
    <t>Notificaciones (8 archivos, 1 test, 5 rutas)</t>
  </si>
  <si>
    <t>M29</t>
  </si>
  <si>
    <t>Opiniones (8 archivos, 1 test, 5 rutas)</t>
  </si>
  <si>
    <t>M30</t>
  </si>
  <si>
    <t>Activos (8 archivos, 1 test, 7 rutas)</t>
  </si>
  <si>
    <t>M31</t>
  </si>
  <si>
    <t>capacitacion</t>
  </si>
  <si>
    <t>Capacitación (10 archivos, 2 tests, 10 rutas)</t>
  </si>
  <si>
    <t>M32</t>
  </si>
  <si>
    <t>Reclutamiento (8 archivos, 1 test, 9 rutas)</t>
  </si>
  <si>
    <t>M33</t>
  </si>
  <si>
    <t>Reembolsos (8 archivos, 1 test, 10 rutas)</t>
  </si>
  <si>
    <t>M34</t>
  </si>
  <si>
    <t>Feedback (8 archivos, 1 test, 6 rutas)</t>
  </si>
  <si>
    <t>M35</t>
  </si>
  <si>
    <t>Amenities (8 archivos, 1 test, 5 rutas)</t>
  </si>
  <si>
    <t>M36</t>
  </si>
  <si>
    <t>Anuncios (8 archivos, 1 test, 5 rutas)</t>
  </si>
  <si>
    <t>M37</t>
  </si>
  <si>
    <t>API Keys (8 archivos, 1 test, 5 rutas)</t>
  </si>
  <si>
    <t>M38</t>
  </si>
  <si>
    <t>Pricing (10 archivos, 1 test, 11 rutas)</t>
  </si>
  <si>
    <t>M39</t>
  </si>
  <si>
    <t>Tickets (8 archivos, 1 test, 5 rutas)</t>
  </si>
  <si>
    <t>M40</t>
  </si>
  <si>
    <t>Grupos (8 archivos, 1 test, 5 rutas)</t>
  </si>
  <si>
    <t>M41</t>
  </si>
  <si>
    <t>Dispositivos (8 archivos, 1 test, 5 rutas)</t>
  </si>
  <si>
    <t>M42</t>
  </si>
  <si>
    <t>PARTIAL</t>
  </si>
  <si>
    <t>11 archivos/2 tests backend OK - Falta frontend página dedicada</t>
  </si>
  <si>
    <t>M43</t>
  </si>
  <si>
    <t>10 archivos/1 test backend OK - Falta frontend página + servicio</t>
  </si>
  <si>
    <t>M44</t>
  </si>
  <si>
    <t>9 archivos/1 test backend OK - Falta frontend página + servicio</t>
  </si>
  <si>
    <t>M45</t>
  </si>
  <si>
    <t>8 archivos/1 test backend OK - Falta frontend service dedicado</t>
  </si>
  <si>
    <t>M46</t>
  </si>
  <si>
    <t>10 archivos/2 tests backend OK - Falta frontend UI gestión</t>
  </si>
  <si>
    <t>Métrica</t>
  </si>
  <si>
    <t>Valor</t>
  </si>
  <si>
    <t>Tareas totales</t>
  </si>
  <si>
    <t>Horas totales</t>
  </si>
  <si>
    <t>Pendientes</t>
  </si>
  <si>
    <t>En progreso</t>
  </si>
  <si>
    <t>Completadas</t>
  </si>
  <si>
    <t>% avance</t>
  </si>
  <si>
    <t>Horas CRITICA</t>
  </si>
  <si>
    <t>Módulos MATURE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</si>
</sst>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BEAFE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3" customWidth="1"/>
    <col min="7" max="7" width="60" customWidth="1"/>
    <col min="8" max="8" width="15" customWidth="1"/>
    <col min="9" max="9" width="12" customWidth="1"/>
    <col min="10" max="10" width="13" customWidth="1"/>
    <col min="11" max="11" width="12" customWidth="1"/>
    <col min="12" max="12" width="13" customWidth="1"/>
  </cols>
  <sheetData>
    <row r="1" ht="20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16</v>
      </c>
      <c r="J2" t="s">
        <v>19</v>
      </c>
      <c r="K2" s="2" t="s">
        <v>20</v>
      </c>
      <c r="L2" t="s">
        <v>21</v>
      </c>
    </row>
    <row r="3" spans="1:12" x14ac:dyDescent="0.25">
      <c r="A3" t="s">
        <v>22</v>
      </c>
      <c r="B3" t="s">
        <v>13</v>
      </c>
      <c r="C3">
        <v>1</v>
      </c>
      <c r="D3" t="s">
        <v>14</v>
      </c>
      <c r="E3" t="s">
        <v>23</v>
      </c>
      <c r="F3" t="s">
        <v>16</v>
      </c>
      <c r="G3" t="s">
        <v>24</v>
      </c>
      <c r="H3" t="s">
        <v>18</v>
      </c>
      <c r="I3">
        <v>20</v>
      </c>
      <c r="J3" t="s">
        <v>19</v>
      </c>
      <c r="K3" s="3" t="s">
        <v>25</v>
      </c>
      <c r="L3" t="s">
        <v>21</v>
      </c>
    </row>
    <row r="4" spans="1:12" x14ac:dyDescent="0.25">
      <c r="A4" t="s">
        <v>26</v>
      </c>
      <c r="B4" t="s">
        <v>13</v>
      </c>
      <c r="C4">
        <v>1</v>
      </c>
      <c r="D4" t="s">
        <v>14</v>
      </c>
      <c r="E4" t="s">
        <v>23</v>
      </c>
      <c r="F4" t="s">
        <v>27</v>
      </c>
      <c r="G4" t="s">
        <v>28</v>
      </c>
      <c r="H4" t="s">
        <v>29</v>
      </c>
      <c r="I4">
        <v>8</v>
      </c>
      <c r="J4" t="s">
        <v>19</v>
      </c>
      <c r="K4" s="3" t="s">
        <v>25</v>
      </c>
      <c r="L4" t="s">
        <v>21</v>
      </c>
    </row>
    <row r="5" spans="1:12" x14ac:dyDescent="0.25">
      <c r="A5" t="s">
        <v>30</v>
      </c>
      <c r="B5" t="s">
        <v>13</v>
      </c>
      <c r="C5">
        <v>1</v>
      </c>
      <c r="D5" t="s">
        <v>14</v>
      </c>
      <c r="E5" t="s">
        <v>31</v>
      </c>
      <c r="F5" t="s">
        <v>16</v>
      </c>
      <c r="G5" t="s">
        <v>32</v>
      </c>
      <c r="H5" t="s">
        <v>18</v>
      </c>
      <c r="I5">
        <v>16</v>
      </c>
      <c r="J5" t="s">
        <v>19</v>
      </c>
      <c r="K5" s="3" t="s">
        <v>25</v>
      </c>
      <c r="L5" t="s">
        <v>21</v>
      </c>
    </row>
    <row r="6" spans="1:12" x14ac:dyDescent="0.25">
      <c r="A6" t="s">
        <v>33</v>
      </c>
      <c r="B6" t="s">
        <v>13</v>
      </c>
      <c r="C6">
        <v>1</v>
      </c>
      <c r="D6" t="s">
        <v>14</v>
      </c>
      <c r="E6" t="s">
        <v>31</v>
      </c>
      <c r="F6" t="s">
        <v>27</v>
      </c>
      <c r="G6" t="s">
        <v>34</v>
      </c>
      <c r="H6" t="s">
        <v>29</v>
      </c>
      <c r="I6">
        <v>8</v>
      </c>
      <c r="J6" t="s">
        <v>19</v>
      </c>
      <c r="K6" s="3" t="s">
        <v>25</v>
      </c>
      <c r="L6" t="s">
        <v>21</v>
      </c>
    </row>
    <row r="7" spans="1:12" x14ac:dyDescent="0.25">
      <c r="A7" t="s">
        <v>35</v>
      </c>
      <c r="B7" t="s">
        <v>13</v>
      </c>
      <c r="C7">
        <v>1</v>
      </c>
      <c r="D7" t="s">
        <v>14</v>
      </c>
      <c r="E7" t="s">
        <v>36</v>
      </c>
      <c r="F7" t="s">
        <v>27</v>
      </c>
      <c r="G7" t="s">
        <v>37</v>
      </c>
      <c r="H7" t="s">
        <v>29</v>
      </c>
      <c r="I7">
        <v>4</v>
      </c>
      <c r="J7" t="s">
        <v>19</v>
      </c>
      <c r="K7" s="3" t="s">
        <v>25</v>
      </c>
      <c r="L7" t="s">
        <v>21</v>
      </c>
    </row>
    <row r="8" spans="1:12" x14ac:dyDescent="0.25">
      <c r="A8" t="s">
        <v>38</v>
      </c>
      <c r="B8" t="s">
        <v>13</v>
      </c>
      <c r="C8">
        <v>1</v>
      </c>
      <c r="D8" t="s">
        <v>14</v>
      </c>
      <c r="E8" t="s">
        <v>39</v>
      </c>
      <c r="F8" t="s">
        <v>16</v>
      </c>
      <c r="G8" t="s">
        <v>40</v>
      </c>
      <c r="H8" t="s">
        <v>18</v>
      </c>
      <c r="I8">
        <v>8</v>
      </c>
      <c r="J8" t="s">
        <v>41</v>
      </c>
      <c r="K8" s="3" t="s">
        <v>25</v>
      </c>
      <c r="L8" t="s">
        <v>21</v>
      </c>
    </row>
    <row r="9" spans="1:12" x14ac:dyDescent="0.25">
      <c r="A9" t="s">
        <v>42</v>
      </c>
      <c r="B9" t="s">
        <v>13</v>
      </c>
      <c r="C9">
        <v>1</v>
      </c>
      <c r="D9" t="s">
        <v>14</v>
      </c>
      <c r="E9" t="s">
        <v>43</v>
      </c>
      <c r="F9" t="s">
        <v>44</v>
      </c>
      <c r="G9" t="s">
        <v>45</v>
      </c>
      <c r="H9" t="s">
        <v>46</v>
      </c>
      <c r="I9">
        <v>8</v>
      </c>
      <c r="J9" t="s">
        <v>19</v>
      </c>
      <c r="K9" s="3" t="s">
        <v>25</v>
      </c>
      <c r="L9" t="s">
        <v>21</v>
      </c>
    </row>
    <row r="10" spans="1:12" x14ac:dyDescent="0.25">
      <c r="A10" t="s">
        <v>47</v>
      </c>
      <c r="B10" t="s">
        <v>48</v>
      </c>
      <c r="C10">
        <v>2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>
        <v>8</v>
      </c>
      <c r="J10" t="s">
        <v>41</v>
      </c>
      <c r="K10" s="3" t="s">
        <v>25</v>
      </c>
      <c r="L10" t="s">
        <v>21</v>
      </c>
    </row>
    <row r="11" spans="1:12" x14ac:dyDescent="0.25">
      <c r="A11" t="s">
        <v>54</v>
      </c>
      <c r="B11" t="s">
        <v>48</v>
      </c>
      <c r="C11">
        <v>2</v>
      </c>
      <c r="D11" t="s">
        <v>49</v>
      </c>
      <c r="E11" t="s">
        <v>50</v>
      </c>
      <c r="F11" t="s">
        <v>55</v>
      </c>
      <c r="G11" t="s">
        <v>56</v>
      </c>
      <c r="H11" t="s">
        <v>53</v>
      </c>
      <c r="I11">
        <v>8</v>
      </c>
      <c r="J11" t="s">
        <v>41</v>
      </c>
      <c r="K11" s="3" t="s">
        <v>25</v>
      </c>
      <c r="L11" t="s">
        <v>21</v>
      </c>
    </row>
    <row r="12" spans="1:12" x14ac:dyDescent="0.25">
      <c r="A12" t="s">
        <v>57</v>
      </c>
      <c r="B12" t="s">
        <v>48</v>
      </c>
      <c r="C12">
        <v>2</v>
      </c>
      <c r="D12" t="s">
        <v>49</v>
      </c>
      <c r="E12" t="s">
        <v>50</v>
      </c>
      <c r="F12" t="s">
        <v>58</v>
      </c>
      <c r="G12" t="s">
        <v>59</v>
      </c>
      <c r="H12" t="s">
        <v>53</v>
      </c>
      <c r="I12">
        <v>8</v>
      </c>
      <c r="J12" t="s">
        <v>41</v>
      </c>
      <c r="K12" s="3" t="s">
        <v>25</v>
      </c>
      <c r="L12" t="s">
        <v>21</v>
      </c>
    </row>
    <row r="13" spans="1:12" x14ac:dyDescent="0.25">
      <c r="A13" t="s">
        <v>60</v>
      </c>
      <c r="B13" t="s">
        <v>48</v>
      </c>
      <c r="C13">
        <v>2</v>
      </c>
      <c r="D13" t="s">
        <v>49</v>
      </c>
      <c r="E13" t="s">
        <v>50</v>
      </c>
      <c r="F13" t="s">
        <v>61</v>
      </c>
      <c r="G13" t="s">
        <v>62</v>
      </c>
      <c r="H13" t="s">
        <v>53</v>
      </c>
      <c r="I13">
        <v>8</v>
      </c>
      <c r="J13" t="s">
        <v>19</v>
      </c>
      <c r="K13" s="3" t="s">
        <v>25</v>
      </c>
      <c r="L13" t="s">
        <v>21</v>
      </c>
    </row>
    <row r="14" spans="1:12" x14ac:dyDescent="0.25">
      <c r="A14" t="s">
        <v>63</v>
      </c>
      <c r="B14" t="s">
        <v>48</v>
      </c>
      <c r="C14">
        <v>2</v>
      </c>
      <c r="D14" t="s">
        <v>49</v>
      </c>
      <c r="E14" t="s">
        <v>50</v>
      </c>
      <c r="F14" t="s">
        <v>64</v>
      </c>
      <c r="G14" t="s">
        <v>65</v>
      </c>
      <c r="H14" t="s">
        <v>53</v>
      </c>
      <c r="I14">
        <v>4</v>
      </c>
      <c r="J14" t="s">
        <v>41</v>
      </c>
      <c r="K14" s="3" t="s">
        <v>25</v>
      </c>
      <c r="L14" t="s">
        <v>21</v>
      </c>
    </row>
    <row r="15" spans="1:12" x14ac:dyDescent="0.25">
      <c r="A15" t="s">
        <v>66</v>
      </c>
      <c r="B15" t="s">
        <v>48</v>
      </c>
      <c r="C15">
        <v>2</v>
      </c>
      <c r="D15" t="s">
        <v>49</v>
      </c>
      <c r="E15" t="s">
        <v>50</v>
      </c>
      <c r="F15" t="s">
        <v>67</v>
      </c>
      <c r="G15" t="s">
        <v>68</v>
      </c>
      <c r="H15" t="s">
        <v>53</v>
      </c>
      <c r="I15">
        <v>12</v>
      </c>
      <c r="J15" t="s">
        <v>19</v>
      </c>
      <c r="K15" s="3" t="s">
        <v>25</v>
      </c>
      <c r="L15" t="s">
        <v>21</v>
      </c>
    </row>
    <row r="16" spans="1:12" x14ac:dyDescent="0.25">
      <c r="A16" t="s">
        <v>69</v>
      </c>
      <c r="B16" t="s">
        <v>48</v>
      </c>
      <c r="C16">
        <v>2</v>
      </c>
      <c r="D16" t="s">
        <v>49</v>
      </c>
      <c r="E16" t="s">
        <v>50</v>
      </c>
      <c r="F16" t="s">
        <v>70</v>
      </c>
      <c r="G16" t="s">
        <v>71</v>
      </c>
      <c r="H16" t="s">
        <v>53</v>
      </c>
      <c r="I16">
        <v>4</v>
      </c>
      <c r="J16" t="s">
        <v>72</v>
      </c>
      <c r="K16" s="3" t="s">
        <v>25</v>
      </c>
      <c r="L16" t="s">
        <v>21</v>
      </c>
    </row>
    <row r="17" spans="1:12" x14ac:dyDescent="0.25">
      <c r="A17" t="s">
        <v>73</v>
      </c>
      <c r="B17" t="s">
        <v>48</v>
      </c>
      <c r="C17">
        <v>2</v>
      </c>
      <c r="D17" t="s">
        <v>49</v>
      </c>
      <c r="E17" t="s">
        <v>50</v>
      </c>
      <c r="F17" t="s">
        <v>74</v>
      </c>
      <c r="G17" t="s">
        <v>75</v>
      </c>
      <c r="H17" t="s">
        <v>53</v>
      </c>
      <c r="I17">
        <v>4</v>
      </c>
      <c r="J17" t="s">
        <v>41</v>
      </c>
      <c r="K17" s="3" t="s">
        <v>25</v>
      </c>
      <c r="L17" t="s">
        <v>21</v>
      </c>
    </row>
    <row r="18" spans="1:12" x14ac:dyDescent="0.25">
      <c r="A18" t="s">
        <v>76</v>
      </c>
      <c r="B18" t="s">
        <v>48</v>
      </c>
      <c r="C18">
        <v>2</v>
      </c>
      <c r="D18" t="s">
        <v>49</v>
      </c>
      <c r="E18" t="s">
        <v>50</v>
      </c>
      <c r="F18" t="s">
        <v>77</v>
      </c>
      <c r="G18" t="s">
        <v>78</v>
      </c>
      <c r="H18" t="s">
        <v>53</v>
      </c>
      <c r="I18">
        <v>4</v>
      </c>
      <c r="J18" t="s">
        <v>72</v>
      </c>
      <c r="K18" s="3" t="s">
        <v>25</v>
      </c>
      <c r="L18" t="s">
        <v>21</v>
      </c>
    </row>
    <row r="19" spans="1:12" x14ac:dyDescent="0.25">
      <c r="A19" t="s">
        <v>79</v>
      </c>
      <c r="B19" t="s">
        <v>48</v>
      </c>
      <c r="C19">
        <v>2</v>
      </c>
      <c r="D19" t="s">
        <v>49</v>
      </c>
      <c r="E19" t="s">
        <v>50</v>
      </c>
      <c r="F19" t="s">
        <v>80</v>
      </c>
      <c r="G19" t="s">
        <v>81</v>
      </c>
      <c r="H19" t="s">
        <v>53</v>
      </c>
      <c r="I19">
        <v>4</v>
      </c>
      <c r="J19" t="s">
        <v>72</v>
      </c>
      <c r="K19" s="3" t="s">
        <v>25</v>
      </c>
      <c r="L19" t="s">
        <v>21</v>
      </c>
    </row>
    <row r="20" spans="1:12" x14ac:dyDescent="0.25">
      <c r="A20" t="s">
        <v>82</v>
      </c>
      <c r="B20" t="s">
        <v>48</v>
      </c>
      <c r="C20">
        <v>2</v>
      </c>
      <c r="D20" t="s">
        <v>49</v>
      </c>
      <c r="E20" t="s">
        <v>50</v>
      </c>
      <c r="F20" t="s">
        <v>83</v>
      </c>
      <c r="G20" t="s">
        <v>84</v>
      </c>
      <c r="H20" t="s">
        <v>53</v>
      </c>
      <c r="I20">
        <v>4</v>
      </c>
      <c r="J20" t="s">
        <v>41</v>
      </c>
      <c r="K20" s="3" t="s">
        <v>25</v>
      </c>
      <c r="L20" t="s">
        <v>21</v>
      </c>
    </row>
    <row r="21" spans="1:12" x14ac:dyDescent="0.25">
      <c r="A21" t="s">
        <v>85</v>
      </c>
      <c r="B21" t="s">
        <v>48</v>
      </c>
      <c r="C21">
        <v>2</v>
      </c>
      <c r="D21" t="s">
        <v>49</v>
      </c>
      <c r="E21" t="s">
        <v>50</v>
      </c>
      <c r="F21" t="s">
        <v>86</v>
      </c>
      <c r="G21" t="s">
        <v>87</v>
      </c>
      <c r="H21" t="s">
        <v>53</v>
      </c>
      <c r="I21">
        <v>4</v>
      </c>
      <c r="J21" t="s">
        <v>72</v>
      </c>
      <c r="K21" s="3" t="s">
        <v>25</v>
      </c>
      <c r="L21" t="s">
        <v>21</v>
      </c>
    </row>
    <row r="22" spans="1:12" x14ac:dyDescent="0.25">
      <c r="A22" t="s">
        <v>88</v>
      </c>
      <c r="B22" t="s">
        <v>89</v>
      </c>
      <c r="C22">
        <v>3</v>
      </c>
      <c r="D22" t="s">
        <v>90</v>
      </c>
      <c r="E22" t="s">
        <v>50</v>
      </c>
      <c r="F22" t="s">
        <v>91</v>
      </c>
      <c r="G22" t="s">
        <v>92</v>
      </c>
      <c r="H22" t="s">
        <v>53</v>
      </c>
      <c r="I22">
        <v>4</v>
      </c>
      <c r="J22" t="s">
        <v>72</v>
      </c>
      <c r="K22" s="3" t="s">
        <v>25</v>
      </c>
      <c r="L22" t="s">
        <v>21</v>
      </c>
    </row>
    <row r="23" spans="1:12" x14ac:dyDescent="0.25">
      <c r="A23" t="s">
        <v>93</v>
      </c>
      <c r="B23" t="s">
        <v>89</v>
      </c>
      <c r="C23">
        <v>3</v>
      </c>
      <c r="D23" t="s">
        <v>90</v>
      </c>
      <c r="E23" t="s">
        <v>50</v>
      </c>
      <c r="F23" t="s">
        <v>94</v>
      </c>
      <c r="G23" t="s">
        <v>95</v>
      </c>
      <c r="H23" t="s">
        <v>53</v>
      </c>
      <c r="I23">
        <v>4</v>
      </c>
      <c r="J23" t="s">
        <v>72</v>
      </c>
      <c r="K23" s="3" t="s">
        <v>25</v>
      </c>
      <c r="L23" t="s">
        <v>21</v>
      </c>
    </row>
    <row r="24" spans="1:12" x14ac:dyDescent="0.25">
      <c r="A24" t="s">
        <v>96</v>
      </c>
      <c r="B24" t="s">
        <v>89</v>
      </c>
      <c r="C24">
        <v>3</v>
      </c>
      <c r="D24" t="s">
        <v>90</v>
      </c>
      <c r="E24" t="s">
        <v>50</v>
      </c>
      <c r="F24" t="s">
        <v>97</v>
      </c>
      <c r="G24" t="s">
        <v>98</v>
      </c>
      <c r="H24" t="s">
        <v>53</v>
      </c>
      <c r="I24">
        <v>4</v>
      </c>
      <c r="J24" t="s">
        <v>72</v>
      </c>
      <c r="K24" s="3" t="s">
        <v>25</v>
      </c>
      <c r="L24" t="s">
        <v>21</v>
      </c>
    </row>
    <row r="25" spans="1:12" x14ac:dyDescent="0.25">
      <c r="A25" t="s">
        <v>99</v>
      </c>
      <c r="B25" t="s">
        <v>89</v>
      </c>
      <c r="C25">
        <v>3</v>
      </c>
      <c r="D25" t="s">
        <v>90</v>
      </c>
      <c r="E25" t="s">
        <v>50</v>
      </c>
      <c r="F25" t="s">
        <v>100</v>
      </c>
      <c r="G25" t="s">
        <v>101</v>
      </c>
      <c r="H25" t="s">
        <v>53</v>
      </c>
      <c r="I25">
        <v>4</v>
      </c>
      <c r="J25" t="s">
        <v>41</v>
      </c>
      <c r="K25" s="3" t="s">
        <v>25</v>
      </c>
      <c r="L25" t="s">
        <v>21</v>
      </c>
    </row>
    <row r="26" spans="1:12" x14ac:dyDescent="0.25">
      <c r="A26" t="s">
        <v>102</v>
      </c>
      <c r="B26" t="s">
        <v>89</v>
      </c>
      <c r="C26">
        <v>3</v>
      </c>
      <c r="D26" t="s">
        <v>90</v>
      </c>
      <c r="E26" t="s">
        <v>50</v>
      </c>
      <c r="F26" t="s">
        <v>103</v>
      </c>
      <c r="G26" t="s">
        <v>104</v>
      </c>
      <c r="H26" t="s">
        <v>53</v>
      </c>
      <c r="I26">
        <v>12</v>
      </c>
      <c r="J26" t="s">
        <v>19</v>
      </c>
      <c r="K26" s="3" t="s">
        <v>25</v>
      </c>
      <c r="L26" t="s">
        <v>21</v>
      </c>
    </row>
    <row r="27" spans="1:12" x14ac:dyDescent="0.25">
      <c r="A27" t="s">
        <v>105</v>
      </c>
      <c r="B27" t="s">
        <v>89</v>
      </c>
      <c r="C27">
        <v>3</v>
      </c>
      <c r="D27" t="s">
        <v>90</v>
      </c>
      <c r="E27" t="s">
        <v>50</v>
      </c>
      <c r="F27" t="s">
        <v>106</v>
      </c>
      <c r="G27" t="s">
        <v>107</v>
      </c>
      <c r="H27" t="s">
        <v>53</v>
      </c>
      <c r="I27">
        <v>4</v>
      </c>
      <c r="J27" t="s">
        <v>72</v>
      </c>
      <c r="K27" s="3" t="s">
        <v>25</v>
      </c>
      <c r="L27" t="s">
        <v>21</v>
      </c>
    </row>
    <row r="28" spans="1:12" x14ac:dyDescent="0.25">
      <c r="A28" t="s">
        <v>108</v>
      </c>
      <c r="B28" t="s">
        <v>89</v>
      </c>
      <c r="C28">
        <v>3</v>
      </c>
      <c r="D28" t="s">
        <v>90</v>
      </c>
      <c r="E28" t="s">
        <v>50</v>
      </c>
      <c r="F28" t="s">
        <v>109</v>
      </c>
      <c r="G28" t="s">
        <v>110</v>
      </c>
      <c r="H28" t="s">
        <v>53</v>
      </c>
      <c r="I28">
        <v>4</v>
      </c>
      <c r="J28" t="s">
        <v>72</v>
      </c>
      <c r="K28" s="3" t="s">
        <v>25</v>
      </c>
      <c r="L28" t="s">
        <v>21</v>
      </c>
    </row>
    <row r="29" spans="1:12" x14ac:dyDescent="0.25">
      <c r="A29" t="s">
        <v>111</v>
      </c>
      <c r="B29" t="s">
        <v>89</v>
      </c>
      <c r="C29">
        <v>3</v>
      </c>
      <c r="D29" t="s">
        <v>90</v>
      </c>
      <c r="E29" t="s">
        <v>50</v>
      </c>
      <c r="F29" t="s">
        <v>112</v>
      </c>
      <c r="G29" t="s">
        <v>113</v>
      </c>
      <c r="H29" t="s">
        <v>53</v>
      </c>
      <c r="I29">
        <v>4</v>
      </c>
      <c r="J29" t="s">
        <v>72</v>
      </c>
      <c r="K29" s="3" t="s">
        <v>25</v>
      </c>
      <c r="L29" t="s">
        <v>21</v>
      </c>
    </row>
    <row r="30" spans="1:12" x14ac:dyDescent="0.25">
      <c r="A30" t="s">
        <v>114</v>
      </c>
      <c r="B30" t="s">
        <v>89</v>
      </c>
      <c r="C30">
        <v>3</v>
      </c>
      <c r="D30" t="s">
        <v>90</v>
      </c>
      <c r="E30" t="s">
        <v>50</v>
      </c>
      <c r="F30" t="s">
        <v>115</v>
      </c>
      <c r="G30" t="s">
        <v>116</v>
      </c>
      <c r="H30" t="s">
        <v>53</v>
      </c>
      <c r="I30">
        <v>12</v>
      </c>
      <c r="J30" t="s">
        <v>19</v>
      </c>
      <c r="K30" s="3" t="s">
        <v>25</v>
      </c>
      <c r="L30" t="s">
        <v>21</v>
      </c>
    </row>
    <row r="31" spans="1:12" x14ac:dyDescent="0.25">
      <c r="A31" t="s">
        <v>117</v>
      </c>
      <c r="B31" t="s">
        <v>89</v>
      </c>
      <c r="C31">
        <v>3</v>
      </c>
      <c r="D31" t="s">
        <v>90</v>
      </c>
      <c r="E31" t="s">
        <v>50</v>
      </c>
      <c r="F31" t="s">
        <v>118</v>
      </c>
      <c r="G31" t="s">
        <v>119</v>
      </c>
      <c r="H31" t="s">
        <v>53</v>
      </c>
      <c r="I31">
        <v>8</v>
      </c>
      <c r="J31" t="s">
        <v>41</v>
      </c>
      <c r="K31" s="3" t="s">
        <v>25</v>
      </c>
      <c r="L31" t="s">
        <v>21</v>
      </c>
    </row>
    <row r="32" spans="1:12" x14ac:dyDescent="0.25">
      <c r="A32" t="s">
        <v>120</v>
      </c>
      <c r="B32" t="s">
        <v>89</v>
      </c>
      <c r="C32">
        <v>3</v>
      </c>
      <c r="D32" t="s">
        <v>90</v>
      </c>
      <c r="E32" t="s">
        <v>50</v>
      </c>
      <c r="F32" t="s">
        <v>121</v>
      </c>
      <c r="G32" t="s">
        <v>122</v>
      </c>
      <c r="H32" t="s">
        <v>53</v>
      </c>
      <c r="I32">
        <v>12</v>
      </c>
      <c r="J32" t="s">
        <v>72</v>
      </c>
      <c r="K32" s="3" t="s">
        <v>25</v>
      </c>
      <c r="L32" t="s">
        <v>21</v>
      </c>
    </row>
    <row r="33" spans="1:12" x14ac:dyDescent="0.25">
      <c r="A33" t="s">
        <v>123</v>
      </c>
      <c r="B33" t="s">
        <v>89</v>
      </c>
      <c r="C33">
        <v>3</v>
      </c>
      <c r="D33" t="s">
        <v>90</v>
      </c>
      <c r="E33" t="s">
        <v>50</v>
      </c>
      <c r="F33" t="s">
        <v>124</v>
      </c>
      <c r="G33" t="s">
        <v>125</v>
      </c>
      <c r="H33" t="s">
        <v>126</v>
      </c>
      <c r="I33">
        <v>16</v>
      </c>
      <c r="J33" t="s">
        <v>19</v>
      </c>
      <c r="K33" s="3" t="s">
        <v>25</v>
      </c>
      <c r="L33" t="s">
        <v>21</v>
      </c>
    </row>
    <row r="34" spans="1:12" x14ac:dyDescent="0.25">
      <c r="A34" t="s">
        <v>127</v>
      </c>
      <c r="B34" t="s">
        <v>128</v>
      </c>
      <c r="C34">
        <v>4</v>
      </c>
      <c r="D34" t="s">
        <v>129</v>
      </c>
      <c r="E34" t="s">
        <v>50</v>
      </c>
      <c r="F34" t="s">
        <v>124</v>
      </c>
      <c r="G34" t="s">
        <v>130</v>
      </c>
      <c r="H34" t="s">
        <v>126</v>
      </c>
      <c r="I34">
        <v>16</v>
      </c>
      <c r="J34" t="s">
        <v>19</v>
      </c>
      <c r="K34" s="3" t="s">
        <v>25</v>
      </c>
      <c r="L34" t="s">
        <v>21</v>
      </c>
    </row>
    <row r="35" spans="1:12" x14ac:dyDescent="0.25">
      <c r="A35" t="s">
        <v>131</v>
      </c>
      <c r="B35" t="s">
        <v>128</v>
      </c>
      <c r="C35">
        <v>4</v>
      </c>
      <c r="D35" t="s">
        <v>129</v>
      </c>
      <c r="E35" t="s">
        <v>50</v>
      </c>
      <c r="F35" t="s">
        <v>124</v>
      </c>
      <c r="G35" t="s">
        <v>132</v>
      </c>
      <c r="H35" t="s">
        <v>126</v>
      </c>
      <c r="I35">
        <v>12</v>
      </c>
      <c r="J35" t="s">
        <v>41</v>
      </c>
      <c r="K35" s="3" t="s">
        <v>25</v>
      </c>
      <c r="L35" t="s">
        <v>21</v>
      </c>
    </row>
    <row r="36" spans="1:12" x14ac:dyDescent="0.25">
      <c r="A36" t="s">
        <v>133</v>
      </c>
      <c r="B36" t="s">
        <v>128</v>
      </c>
      <c r="C36">
        <v>4</v>
      </c>
      <c r="D36" t="s">
        <v>129</v>
      </c>
      <c r="E36" t="s">
        <v>50</v>
      </c>
      <c r="F36" t="s">
        <v>124</v>
      </c>
      <c r="G36" t="s">
        <v>134</v>
      </c>
      <c r="H36" t="s">
        <v>126</v>
      </c>
      <c r="I36">
        <v>8</v>
      </c>
      <c r="J36" t="s">
        <v>41</v>
      </c>
      <c r="K36" s="3" t="s">
        <v>25</v>
      </c>
      <c r="L36" t="s">
        <v>21</v>
      </c>
    </row>
    <row r="37" spans="1:12" x14ac:dyDescent="0.25">
      <c r="A37" t="s">
        <v>135</v>
      </c>
      <c r="B37" t="s">
        <v>128</v>
      </c>
      <c r="C37">
        <v>4</v>
      </c>
      <c r="D37" t="s">
        <v>129</v>
      </c>
      <c r="E37" t="s">
        <v>50</v>
      </c>
      <c r="F37" t="s">
        <v>16</v>
      </c>
      <c r="G37" t="s">
        <v>136</v>
      </c>
      <c r="H37" t="s">
        <v>53</v>
      </c>
      <c r="I37">
        <v>16</v>
      </c>
      <c r="J37" t="s">
        <v>41</v>
      </c>
      <c r="K37" s="3" t="s">
        <v>25</v>
      </c>
      <c r="L37" t="s">
        <v>21</v>
      </c>
    </row>
    <row r="38" spans="1:12" x14ac:dyDescent="0.25">
      <c r="A38" t="s">
        <v>137</v>
      </c>
      <c r="B38" t="s">
        <v>128</v>
      </c>
      <c r="C38">
        <v>4</v>
      </c>
      <c r="D38" t="s">
        <v>129</v>
      </c>
      <c r="E38" t="s">
        <v>50</v>
      </c>
      <c r="F38" t="s">
        <v>16</v>
      </c>
      <c r="G38" t="s">
        <v>138</v>
      </c>
      <c r="H38" t="s">
        <v>53</v>
      </c>
      <c r="I38">
        <v>16</v>
      </c>
      <c r="J38" t="s">
        <v>41</v>
      </c>
      <c r="K38" s="3" t="s">
        <v>25</v>
      </c>
      <c r="L38" t="s">
        <v>21</v>
      </c>
    </row>
    <row r="39" spans="1:12" x14ac:dyDescent="0.25">
      <c r="A39" t="s">
        <v>139</v>
      </c>
      <c r="B39" t="s">
        <v>140</v>
      </c>
      <c r="C39">
        <v>5</v>
      </c>
      <c r="D39" t="s">
        <v>141</v>
      </c>
      <c r="E39" t="s">
        <v>142</v>
      </c>
      <c r="F39" t="s">
        <v>143</v>
      </c>
      <c r="G39" t="s">
        <v>144</v>
      </c>
      <c r="H39" t="s">
        <v>46</v>
      </c>
      <c r="I39">
        <v>16</v>
      </c>
      <c r="J39" t="s">
        <v>145</v>
      </c>
      <c r="K39" s="3" t="s">
        <v>25</v>
      </c>
      <c r="L39" t="s">
        <v>21</v>
      </c>
    </row>
    <row r="40" spans="1:12" x14ac:dyDescent="0.25">
      <c r="A40" t="s">
        <v>146</v>
      </c>
      <c r="B40" t="s">
        <v>140</v>
      </c>
      <c r="C40">
        <v>5</v>
      </c>
      <c r="D40" t="s">
        <v>141</v>
      </c>
      <c r="E40" t="s">
        <v>142</v>
      </c>
      <c r="F40" t="s">
        <v>143</v>
      </c>
      <c r="G40" t="s">
        <v>147</v>
      </c>
      <c r="H40" t="s">
        <v>148</v>
      </c>
      <c r="I40">
        <v>16</v>
      </c>
      <c r="J40" t="s">
        <v>145</v>
      </c>
      <c r="K40" s="3" t="s">
        <v>25</v>
      </c>
      <c r="L40" t="s">
        <v>21</v>
      </c>
    </row>
    <row r="41" spans="1:12" x14ac:dyDescent="0.25">
      <c r="A41" t="s">
        <v>149</v>
      </c>
      <c r="B41" t="s">
        <v>140</v>
      </c>
      <c r="C41">
        <v>5</v>
      </c>
      <c r="D41" t="s">
        <v>141</v>
      </c>
      <c r="E41" t="s">
        <v>142</v>
      </c>
      <c r="F41" t="s">
        <v>150</v>
      </c>
      <c r="G41" t="s">
        <v>151</v>
      </c>
      <c r="H41" t="s">
        <v>148</v>
      </c>
      <c r="I41">
        <v>12</v>
      </c>
      <c r="J41" t="s">
        <v>19</v>
      </c>
      <c r="K41" s="3" t="s">
        <v>25</v>
      </c>
      <c r="L41" t="s">
        <v>21</v>
      </c>
    </row>
    <row r="42" spans="1:12" x14ac:dyDescent="0.25">
      <c r="A42" t="s">
        <v>152</v>
      </c>
      <c r="B42" t="s">
        <v>140</v>
      </c>
      <c r="C42">
        <v>5</v>
      </c>
      <c r="D42" t="s">
        <v>141</v>
      </c>
      <c r="E42" t="s">
        <v>142</v>
      </c>
      <c r="F42" t="s">
        <v>153</v>
      </c>
      <c r="G42" t="s">
        <v>154</v>
      </c>
      <c r="H42" t="s">
        <v>155</v>
      </c>
      <c r="I42">
        <v>8</v>
      </c>
      <c r="J42" t="s">
        <v>19</v>
      </c>
      <c r="K42" s="3" t="s">
        <v>25</v>
      </c>
      <c r="L42" t="s">
        <v>21</v>
      </c>
    </row>
    <row r="43" spans="1:12" x14ac:dyDescent="0.25">
      <c r="A43" t="s">
        <v>156</v>
      </c>
      <c r="B43" t="s">
        <v>140</v>
      </c>
      <c r="C43">
        <v>5</v>
      </c>
      <c r="D43" t="s">
        <v>141</v>
      </c>
      <c r="E43" t="s">
        <v>142</v>
      </c>
      <c r="F43" t="s">
        <v>157</v>
      </c>
      <c r="G43" t="s">
        <v>158</v>
      </c>
      <c r="H43" t="s">
        <v>155</v>
      </c>
      <c r="I43">
        <v>4</v>
      </c>
      <c r="J43" t="s">
        <v>19</v>
      </c>
      <c r="K43" s="3" t="s">
        <v>25</v>
      </c>
      <c r="L43" t="s">
        <v>21</v>
      </c>
    </row>
    <row r="44" spans="1:12" x14ac:dyDescent="0.25">
      <c r="A44" t="s">
        <v>159</v>
      </c>
      <c r="B44" t="s">
        <v>160</v>
      </c>
      <c r="C44">
        <v>6</v>
      </c>
      <c r="D44" t="s">
        <v>161</v>
      </c>
      <c r="E44" t="s">
        <v>142</v>
      </c>
      <c r="F44" t="s">
        <v>16</v>
      </c>
      <c r="G44" t="s">
        <v>162</v>
      </c>
      <c r="H44" t="s">
        <v>18</v>
      </c>
      <c r="I44">
        <v>12</v>
      </c>
      <c r="J44" t="s">
        <v>19</v>
      </c>
      <c r="K44" s="3" t="s">
        <v>25</v>
      </c>
      <c r="L44" t="s">
        <v>21</v>
      </c>
    </row>
    <row r="45" spans="1:12" x14ac:dyDescent="0.25">
      <c r="A45" t="s">
        <v>163</v>
      </c>
      <c r="B45" t="s">
        <v>160</v>
      </c>
      <c r="C45">
        <v>6</v>
      </c>
      <c r="D45" t="s">
        <v>161</v>
      </c>
      <c r="E45" t="s">
        <v>142</v>
      </c>
      <c r="F45" t="s">
        <v>16</v>
      </c>
      <c r="G45" t="s">
        <v>164</v>
      </c>
      <c r="H45" t="s">
        <v>148</v>
      </c>
      <c r="I45">
        <v>8</v>
      </c>
      <c r="J45" t="s">
        <v>19</v>
      </c>
      <c r="K45" s="3" t="s">
        <v>25</v>
      </c>
      <c r="L45" t="s">
        <v>21</v>
      </c>
    </row>
    <row r="46" spans="1:12" x14ac:dyDescent="0.25">
      <c r="A46" t="s">
        <v>165</v>
      </c>
      <c r="B46" t="s">
        <v>160</v>
      </c>
      <c r="C46">
        <v>6</v>
      </c>
      <c r="D46" t="s">
        <v>161</v>
      </c>
      <c r="E46" t="s">
        <v>142</v>
      </c>
      <c r="F46" t="s">
        <v>16</v>
      </c>
      <c r="G46" t="s">
        <v>166</v>
      </c>
      <c r="H46" t="s">
        <v>18</v>
      </c>
      <c r="I46">
        <v>8</v>
      </c>
      <c r="J46" t="s">
        <v>41</v>
      </c>
      <c r="K46" s="3" t="s">
        <v>25</v>
      </c>
      <c r="L46" t="s">
        <v>21</v>
      </c>
    </row>
    <row r="47" spans="1:12" x14ac:dyDescent="0.25">
      <c r="A47" t="s">
        <v>167</v>
      </c>
      <c r="B47" t="s">
        <v>160</v>
      </c>
      <c r="C47">
        <v>6</v>
      </c>
      <c r="D47" t="s">
        <v>161</v>
      </c>
      <c r="E47" t="s">
        <v>142</v>
      </c>
      <c r="F47" t="s">
        <v>16</v>
      </c>
      <c r="G47" t="s">
        <v>168</v>
      </c>
      <c r="H47" t="s">
        <v>29</v>
      </c>
      <c r="I47">
        <v>4</v>
      </c>
      <c r="J47" t="s">
        <v>41</v>
      </c>
      <c r="K47" s="3" t="s">
        <v>25</v>
      </c>
      <c r="L47" t="s">
        <v>21</v>
      </c>
    </row>
    <row r="48" spans="1:12" x14ac:dyDescent="0.25">
      <c r="A48" t="s">
        <v>169</v>
      </c>
      <c r="B48" t="s">
        <v>160</v>
      </c>
      <c r="C48">
        <v>6</v>
      </c>
      <c r="D48" t="s">
        <v>161</v>
      </c>
      <c r="E48" t="s">
        <v>142</v>
      </c>
      <c r="F48" t="s">
        <v>170</v>
      </c>
      <c r="G48" t="s">
        <v>171</v>
      </c>
      <c r="H48" t="s">
        <v>155</v>
      </c>
      <c r="I48">
        <v>4</v>
      </c>
      <c r="J48" t="s">
        <v>41</v>
      </c>
      <c r="K48" s="3" t="s">
        <v>25</v>
      </c>
      <c r="L48" t="s">
        <v>21</v>
      </c>
    </row>
    <row r="49" spans="1:12" x14ac:dyDescent="0.25">
      <c r="A49" t="s">
        <v>172</v>
      </c>
      <c r="B49" t="s">
        <v>160</v>
      </c>
      <c r="C49">
        <v>6</v>
      </c>
      <c r="D49" t="s">
        <v>161</v>
      </c>
      <c r="E49" t="s">
        <v>142</v>
      </c>
      <c r="F49" t="s">
        <v>173</v>
      </c>
      <c r="G49" t="s">
        <v>174</v>
      </c>
      <c r="H49" t="s">
        <v>148</v>
      </c>
      <c r="I49">
        <v>8</v>
      </c>
      <c r="J49" t="s">
        <v>41</v>
      </c>
      <c r="K49" s="3" t="s">
        <v>25</v>
      </c>
      <c r="L49" t="s">
        <v>21</v>
      </c>
    </row>
    <row r="50" spans="1:12" x14ac:dyDescent="0.25">
      <c r="A50" t="s">
        <v>175</v>
      </c>
      <c r="B50" t="s">
        <v>176</v>
      </c>
      <c r="C50">
        <v>7</v>
      </c>
      <c r="D50" t="s">
        <v>177</v>
      </c>
      <c r="E50" t="s">
        <v>178</v>
      </c>
      <c r="F50" t="s">
        <v>179</v>
      </c>
      <c r="G50" t="s">
        <v>180</v>
      </c>
      <c r="H50" t="s">
        <v>148</v>
      </c>
      <c r="I50">
        <v>16</v>
      </c>
      <c r="J50" t="s">
        <v>19</v>
      </c>
      <c r="K50" s="3" t="s">
        <v>25</v>
      </c>
      <c r="L50" t="s">
        <v>21</v>
      </c>
    </row>
    <row r="51" spans="1:12" x14ac:dyDescent="0.25">
      <c r="A51" t="s">
        <v>181</v>
      </c>
      <c r="B51" t="s">
        <v>176</v>
      </c>
      <c r="C51">
        <v>7</v>
      </c>
      <c r="D51" t="s">
        <v>177</v>
      </c>
      <c r="E51" t="s">
        <v>178</v>
      </c>
      <c r="F51" t="s">
        <v>179</v>
      </c>
      <c r="G51" t="s">
        <v>182</v>
      </c>
      <c r="H51" t="s">
        <v>148</v>
      </c>
      <c r="I51">
        <v>8</v>
      </c>
      <c r="J51" t="s">
        <v>19</v>
      </c>
      <c r="K51" s="3" t="s">
        <v>25</v>
      </c>
      <c r="L51" t="s">
        <v>21</v>
      </c>
    </row>
    <row r="52" spans="1:12" x14ac:dyDescent="0.25">
      <c r="A52" t="s">
        <v>183</v>
      </c>
      <c r="B52" t="s">
        <v>176</v>
      </c>
      <c r="C52">
        <v>7</v>
      </c>
      <c r="D52" t="s">
        <v>177</v>
      </c>
      <c r="E52" t="s">
        <v>178</v>
      </c>
      <c r="F52" t="s">
        <v>179</v>
      </c>
      <c r="G52" t="s">
        <v>184</v>
      </c>
      <c r="H52" t="s">
        <v>148</v>
      </c>
      <c r="I52">
        <v>12</v>
      </c>
      <c r="J52" t="s">
        <v>19</v>
      </c>
      <c r="K52" s="3" t="s">
        <v>25</v>
      </c>
      <c r="L52" t="s">
        <v>21</v>
      </c>
    </row>
    <row r="53" spans="1:12" x14ac:dyDescent="0.25">
      <c r="A53" t="s">
        <v>185</v>
      </c>
      <c r="B53" t="s">
        <v>176</v>
      </c>
      <c r="C53">
        <v>7</v>
      </c>
      <c r="D53" t="s">
        <v>177</v>
      </c>
      <c r="E53" t="s">
        <v>178</v>
      </c>
      <c r="F53" t="s">
        <v>179</v>
      </c>
      <c r="G53" t="s">
        <v>186</v>
      </c>
      <c r="H53" t="s">
        <v>126</v>
      </c>
      <c r="I53">
        <v>24</v>
      </c>
      <c r="J53" t="s">
        <v>19</v>
      </c>
      <c r="K53" s="3" t="s">
        <v>25</v>
      </c>
      <c r="L53" t="s">
        <v>21</v>
      </c>
    </row>
    <row r="54" spans="1:12" x14ac:dyDescent="0.25">
      <c r="A54" t="s">
        <v>187</v>
      </c>
      <c r="B54" t="s">
        <v>176</v>
      </c>
      <c r="C54">
        <v>7</v>
      </c>
      <c r="D54" t="s">
        <v>177</v>
      </c>
      <c r="E54" t="s">
        <v>178</v>
      </c>
      <c r="F54" t="s">
        <v>179</v>
      </c>
      <c r="G54" t="s">
        <v>188</v>
      </c>
      <c r="H54" t="s">
        <v>155</v>
      </c>
      <c r="I54">
        <v>4</v>
      </c>
      <c r="J54" t="s">
        <v>41</v>
      </c>
      <c r="K54" s="3" t="s">
        <v>25</v>
      </c>
      <c r="L54" t="s">
        <v>21</v>
      </c>
    </row>
    <row r="55" spans="1:12" x14ac:dyDescent="0.25">
      <c r="A55" t="s">
        <v>189</v>
      </c>
      <c r="B55" t="s">
        <v>190</v>
      </c>
      <c r="C55">
        <v>8</v>
      </c>
      <c r="D55" t="s">
        <v>191</v>
      </c>
      <c r="E55" t="s">
        <v>192</v>
      </c>
      <c r="F55" t="s">
        <v>193</v>
      </c>
      <c r="G55" t="s">
        <v>194</v>
      </c>
      <c r="H55" t="s">
        <v>148</v>
      </c>
      <c r="I55">
        <v>8</v>
      </c>
      <c r="J55" t="s">
        <v>19</v>
      </c>
      <c r="K55" s="3" t="s">
        <v>25</v>
      </c>
      <c r="L55" t="s">
        <v>21</v>
      </c>
    </row>
    <row r="56" spans="1:12" x14ac:dyDescent="0.25">
      <c r="A56" t="s">
        <v>195</v>
      </c>
      <c r="B56" t="s">
        <v>190</v>
      </c>
      <c r="C56">
        <v>8</v>
      </c>
      <c r="D56" t="s">
        <v>191</v>
      </c>
      <c r="E56" t="s">
        <v>192</v>
      </c>
      <c r="F56" t="s">
        <v>193</v>
      </c>
      <c r="G56" t="s">
        <v>196</v>
      </c>
      <c r="H56" t="s">
        <v>155</v>
      </c>
      <c r="I56">
        <v>4</v>
      </c>
      <c r="J56" t="s">
        <v>41</v>
      </c>
      <c r="K56" s="3" t="s">
        <v>25</v>
      </c>
      <c r="L56" t="s">
        <v>21</v>
      </c>
    </row>
    <row r="57" spans="1:12" x14ac:dyDescent="0.25">
      <c r="A57" t="s">
        <v>197</v>
      </c>
      <c r="B57" t="s">
        <v>190</v>
      </c>
      <c r="C57">
        <v>8</v>
      </c>
      <c r="D57" t="s">
        <v>191</v>
      </c>
      <c r="E57" t="s">
        <v>192</v>
      </c>
      <c r="F57" t="s">
        <v>193</v>
      </c>
      <c r="G57" t="s">
        <v>198</v>
      </c>
      <c r="H57" t="s">
        <v>126</v>
      </c>
      <c r="I57">
        <v>8</v>
      </c>
      <c r="J57" t="s">
        <v>19</v>
      </c>
      <c r="K57" s="3" t="s">
        <v>25</v>
      </c>
      <c r="L57" t="s">
        <v>21</v>
      </c>
    </row>
    <row r="58" spans="1:12" x14ac:dyDescent="0.25">
      <c r="A58" t="s">
        <v>199</v>
      </c>
      <c r="B58" t="s">
        <v>190</v>
      </c>
      <c r="C58">
        <v>8</v>
      </c>
      <c r="D58" t="s">
        <v>191</v>
      </c>
      <c r="E58" t="s">
        <v>200</v>
      </c>
      <c r="F58" t="s">
        <v>201</v>
      </c>
      <c r="G58" t="s">
        <v>202</v>
      </c>
      <c r="H58" t="s">
        <v>148</v>
      </c>
      <c r="I58">
        <v>12</v>
      </c>
      <c r="J58" t="s">
        <v>19</v>
      </c>
      <c r="K58" s="3" t="s">
        <v>25</v>
      </c>
      <c r="L58" t="s">
        <v>21</v>
      </c>
    </row>
    <row r="59" spans="1:12" x14ac:dyDescent="0.25">
      <c r="A59" t="s">
        <v>203</v>
      </c>
      <c r="B59" t="s">
        <v>190</v>
      </c>
      <c r="C59">
        <v>8</v>
      </c>
      <c r="D59" t="s">
        <v>191</v>
      </c>
      <c r="E59" t="s">
        <v>200</v>
      </c>
      <c r="F59" t="s">
        <v>201</v>
      </c>
      <c r="G59" t="s">
        <v>204</v>
      </c>
      <c r="H59" t="s">
        <v>18</v>
      </c>
      <c r="I59">
        <v>12</v>
      </c>
      <c r="J59" t="s">
        <v>41</v>
      </c>
      <c r="K59" s="3" t="s">
        <v>25</v>
      </c>
      <c r="L59" t="s">
        <v>21</v>
      </c>
    </row>
    <row r="60" spans="1:12" x14ac:dyDescent="0.25">
      <c r="A60" t="s">
        <v>205</v>
      </c>
      <c r="B60" t="s">
        <v>190</v>
      </c>
      <c r="C60">
        <v>8</v>
      </c>
      <c r="D60" t="s">
        <v>191</v>
      </c>
      <c r="E60" t="s">
        <v>206</v>
      </c>
      <c r="F60" t="s">
        <v>207</v>
      </c>
      <c r="G60" t="s">
        <v>208</v>
      </c>
      <c r="H60" t="s">
        <v>29</v>
      </c>
      <c r="I60">
        <v>12</v>
      </c>
      <c r="J60" t="s">
        <v>41</v>
      </c>
      <c r="K60" s="3" t="s">
        <v>25</v>
      </c>
      <c r="L60" t="s">
        <v>21</v>
      </c>
    </row>
    <row r="61" spans="1:12" x14ac:dyDescent="0.25">
      <c r="A61" t="s">
        <v>209</v>
      </c>
      <c r="B61" t="s">
        <v>190</v>
      </c>
      <c r="C61">
        <v>8</v>
      </c>
      <c r="D61" t="s">
        <v>191</v>
      </c>
      <c r="E61" t="s">
        <v>206</v>
      </c>
      <c r="F61" t="s">
        <v>207</v>
      </c>
      <c r="G61" t="s">
        <v>210</v>
      </c>
      <c r="H61" t="s">
        <v>148</v>
      </c>
      <c r="I61">
        <v>8</v>
      </c>
      <c r="J61" t="s">
        <v>41</v>
      </c>
      <c r="K61" s="3" t="s">
        <v>25</v>
      </c>
      <c r="L61" t="s">
        <v>21</v>
      </c>
    </row>
    <row r="62" spans="1:12" x14ac:dyDescent="0.25">
      <c r="A62" t="s">
        <v>211</v>
      </c>
      <c r="B62" t="s">
        <v>212</v>
      </c>
      <c r="C62">
        <v>9</v>
      </c>
      <c r="D62" t="s">
        <v>213</v>
      </c>
      <c r="E62" t="s">
        <v>16</v>
      </c>
      <c r="F62" t="s">
        <v>214</v>
      </c>
      <c r="G62" t="s">
        <v>215</v>
      </c>
      <c r="H62" t="s">
        <v>18</v>
      </c>
      <c r="I62">
        <v>16</v>
      </c>
      <c r="J62" t="s">
        <v>41</v>
      </c>
      <c r="K62" s="3" t="s">
        <v>25</v>
      </c>
      <c r="L62" t="s">
        <v>21</v>
      </c>
    </row>
    <row r="63" spans="1:12" x14ac:dyDescent="0.25">
      <c r="A63" t="s">
        <v>216</v>
      </c>
      <c r="B63" t="s">
        <v>212</v>
      </c>
      <c r="C63">
        <v>9</v>
      </c>
      <c r="D63" t="s">
        <v>213</v>
      </c>
      <c r="E63" t="s">
        <v>16</v>
      </c>
      <c r="F63" t="s">
        <v>214</v>
      </c>
      <c r="G63" t="s">
        <v>217</v>
      </c>
      <c r="H63" t="s">
        <v>18</v>
      </c>
      <c r="I63">
        <v>12</v>
      </c>
      <c r="J63" t="s">
        <v>41</v>
      </c>
      <c r="K63" s="3" t="s">
        <v>25</v>
      </c>
      <c r="L63" t="s">
        <v>21</v>
      </c>
    </row>
    <row r="64" spans="1:12" x14ac:dyDescent="0.25">
      <c r="A64" t="s">
        <v>218</v>
      </c>
      <c r="B64" t="s">
        <v>212</v>
      </c>
      <c r="C64">
        <v>9</v>
      </c>
      <c r="D64" t="s">
        <v>213</v>
      </c>
      <c r="E64" t="s">
        <v>16</v>
      </c>
      <c r="F64" t="s">
        <v>214</v>
      </c>
      <c r="G64" t="s">
        <v>219</v>
      </c>
      <c r="H64" t="s">
        <v>18</v>
      </c>
      <c r="I64">
        <v>12</v>
      </c>
      <c r="J64" t="s">
        <v>19</v>
      </c>
      <c r="K64" s="3" t="s">
        <v>25</v>
      </c>
      <c r="L64" t="s">
        <v>21</v>
      </c>
    </row>
    <row r="65" spans="1:12" x14ac:dyDescent="0.25">
      <c r="A65" t="s">
        <v>220</v>
      </c>
      <c r="B65" t="s">
        <v>212</v>
      </c>
      <c r="C65">
        <v>9</v>
      </c>
      <c r="D65" t="s">
        <v>213</v>
      </c>
      <c r="E65" t="s">
        <v>16</v>
      </c>
      <c r="F65" t="s">
        <v>214</v>
      </c>
      <c r="G65" t="s">
        <v>221</v>
      </c>
      <c r="H65" t="s">
        <v>29</v>
      </c>
      <c r="I65">
        <v>16</v>
      </c>
      <c r="J65" t="s">
        <v>19</v>
      </c>
      <c r="K65" s="3" t="s">
        <v>25</v>
      </c>
      <c r="L65" t="s">
        <v>21</v>
      </c>
    </row>
    <row r="66" spans="1:12" x14ac:dyDescent="0.25">
      <c r="A66" t="s">
        <v>222</v>
      </c>
      <c r="B66" t="s">
        <v>212</v>
      </c>
      <c r="C66">
        <v>9</v>
      </c>
      <c r="D66" t="s">
        <v>213</v>
      </c>
      <c r="E66" t="s">
        <v>16</v>
      </c>
      <c r="F66" t="s">
        <v>214</v>
      </c>
      <c r="G66" t="s">
        <v>223</v>
      </c>
      <c r="H66" t="s">
        <v>29</v>
      </c>
      <c r="I66">
        <v>8</v>
      </c>
      <c r="J66" t="s">
        <v>19</v>
      </c>
      <c r="K66" s="3" t="s">
        <v>25</v>
      </c>
      <c r="L66" t="s">
        <v>21</v>
      </c>
    </row>
    <row r="67" spans="1:12" x14ac:dyDescent="0.25">
      <c r="A67" t="s">
        <v>224</v>
      </c>
      <c r="B67" t="s">
        <v>212</v>
      </c>
      <c r="C67">
        <v>9</v>
      </c>
      <c r="D67" t="s">
        <v>213</v>
      </c>
      <c r="E67" t="s">
        <v>16</v>
      </c>
      <c r="F67" t="s">
        <v>225</v>
      </c>
      <c r="G67" t="s">
        <v>226</v>
      </c>
      <c r="H67" t="s">
        <v>29</v>
      </c>
      <c r="I67">
        <v>8</v>
      </c>
      <c r="J67" t="s">
        <v>41</v>
      </c>
      <c r="K67" s="3" t="s">
        <v>25</v>
      </c>
      <c r="L67" t="s">
        <v>21</v>
      </c>
    </row>
    <row r="68" spans="1:12" x14ac:dyDescent="0.25">
      <c r="A68" t="s">
        <v>227</v>
      </c>
      <c r="B68" t="s">
        <v>228</v>
      </c>
      <c r="C68">
        <v>10</v>
      </c>
      <c r="D68" t="s">
        <v>229</v>
      </c>
      <c r="E68" t="s">
        <v>16</v>
      </c>
      <c r="F68" t="s">
        <v>230</v>
      </c>
      <c r="G68" t="s">
        <v>231</v>
      </c>
      <c r="H68" t="s">
        <v>18</v>
      </c>
      <c r="I68">
        <v>20</v>
      </c>
      <c r="J68" t="s">
        <v>41</v>
      </c>
      <c r="K68" s="3" t="s">
        <v>25</v>
      </c>
      <c r="L68" t="s">
        <v>21</v>
      </c>
    </row>
    <row r="69" spans="1:12" x14ac:dyDescent="0.25">
      <c r="A69" t="s">
        <v>232</v>
      </c>
      <c r="B69" t="s">
        <v>228</v>
      </c>
      <c r="C69">
        <v>10</v>
      </c>
      <c r="D69" t="s">
        <v>229</v>
      </c>
      <c r="E69" t="s">
        <v>16</v>
      </c>
      <c r="F69" t="s">
        <v>230</v>
      </c>
      <c r="G69" t="s">
        <v>233</v>
      </c>
      <c r="H69" t="s">
        <v>18</v>
      </c>
      <c r="I69">
        <v>8</v>
      </c>
      <c r="J69" t="s">
        <v>41</v>
      </c>
      <c r="K69" s="3" t="s">
        <v>25</v>
      </c>
      <c r="L69" t="s">
        <v>21</v>
      </c>
    </row>
    <row r="70" spans="1:12" x14ac:dyDescent="0.25">
      <c r="A70" t="s">
        <v>234</v>
      </c>
      <c r="B70" t="s">
        <v>228</v>
      </c>
      <c r="C70">
        <v>10</v>
      </c>
      <c r="D70" t="s">
        <v>229</v>
      </c>
      <c r="E70" t="s">
        <v>16</v>
      </c>
      <c r="F70" t="s">
        <v>235</v>
      </c>
      <c r="G70" t="s">
        <v>236</v>
      </c>
      <c r="H70" t="s">
        <v>29</v>
      </c>
      <c r="I70">
        <v>20</v>
      </c>
      <c r="J70" t="s">
        <v>72</v>
      </c>
      <c r="K70" s="3" t="s">
        <v>25</v>
      </c>
      <c r="L70" t="s">
        <v>21</v>
      </c>
    </row>
    <row r="71" spans="1:12" x14ac:dyDescent="0.25">
      <c r="A71" t="s">
        <v>237</v>
      </c>
      <c r="B71" t="s">
        <v>228</v>
      </c>
      <c r="C71">
        <v>10</v>
      </c>
      <c r="D71" t="s">
        <v>229</v>
      </c>
      <c r="E71" t="s">
        <v>16</v>
      </c>
      <c r="F71" t="s">
        <v>235</v>
      </c>
      <c r="G71" t="s">
        <v>238</v>
      </c>
      <c r="H71" t="s">
        <v>29</v>
      </c>
      <c r="I71">
        <v>8</v>
      </c>
      <c r="J71" t="s">
        <v>72</v>
      </c>
      <c r="K71" s="3" t="s">
        <v>25</v>
      </c>
      <c r="L71" t="s">
        <v>21</v>
      </c>
    </row>
    <row r="72" spans="1:12" x14ac:dyDescent="0.25">
      <c r="A72" t="s">
        <v>239</v>
      </c>
      <c r="B72" t="s">
        <v>228</v>
      </c>
      <c r="C72">
        <v>10</v>
      </c>
      <c r="D72" t="s">
        <v>229</v>
      </c>
      <c r="E72" t="s">
        <v>16</v>
      </c>
      <c r="F72" t="s">
        <v>240</v>
      </c>
      <c r="G72" t="s">
        <v>241</v>
      </c>
      <c r="H72" t="s">
        <v>29</v>
      </c>
      <c r="I72">
        <v>8</v>
      </c>
      <c r="J72" t="s">
        <v>72</v>
      </c>
      <c r="K72" s="3" t="s">
        <v>25</v>
      </c>
      <c r="L72" t="s">
        <v>21</v>
      </c>
    </row>
    <row r="73" spans="1:12" x14ac:dyDescent="0.25">
      <c r="A73" t="s">
        <v>242</v>
      </c>
      <c r="B73" t="s">
        <v>243</v>
      </c>
      <c r="C73">
        <v>11</v>
      </c>
      <c r="D73" t="s">
        <v>244</v>
      </c>
      <c r="E73" t="s">
        <v>245</v>
      </c>
      <c r="F73" t="s">
        <v>246</v>
      </c>
      <c r="G73" t="s">
        <v>247</v>
      </c>
      <c r="H73" t="s">
        <v>46</v>
      </c>
      <c r="I73">
        <v>12</v>
      </c>
      <c r="J73" t="s">
        <v>19</v>
      </c>
      <c r="K73" s="3" t="s">
        <v>25</v>
      </c>
      <c r="L73" t="s">
        <v>21</v>
      </c>
    </row>
    <row r="74" spans="1:12" x14ac:dyDescent="0.25">
      <c r="A74" t="s">
        <v>248</v>
      </c>
      <c r="B74" t="s">
        <v>243</v>
      </c>
      <c r="C74">
        <v>11</v>
      </c>
      <c r="D74" t="s">
        <v>244</v>
      </c>
      <c r="E74" t="s">
        <v>245</v>
      </c>
      <c r="F74" t="s">
        <v>246</v>
      </c>
      <c r="G74" t="s">
        <v>249</v>
      </c>
      <c r="H74" t="s">
        <v>250</v>
      </c>
      <c r="I74">
        <v>16</v>
      </c>
      <c r="J74" t="s">
        <v>19</v>
      </c>
      <c r="K74" s="3" t="s">
        <v>25</v>
      </c>
      <c r="L74" t="s">
        <v>21</v>
      </c>
    </row>
    <row r="75" spans="1:12" x14ac:dyDescent="0.25">
      <c r="A75" t="s">
        <v>251</v>
      </c>
      <c r="B75" t="s">
        <v>243</v>
      </c>
      <c r="C75">
        <v>11</v>
      </c>
      <c r="D75" t="s">
        <v>244</v>
      </c>
      <c r="E75" t="s">
        <v>245</v>
      </c>
      <c r="F75" t="s">
        <v>173</v>
      </c>
      <c r="G75" t="s">
        <v>252</v>
      </c>
      <c r="H75" t="s">
        <v>148</v>
      </c>
      <c r="I75">
        <v>16</v>
      </c>
      <c r="J75" t="s">
        <v>41</v>
      </c>
      <c r="K75" s="3" t="s">
        <v>25</v>
      </c>
      <c r="L75" t="s">
        <v>21</v>
      </c>
    </row>
    <row r="76" spans="1:12" x14ac:dyDescent="0.25">
      <c r="A76" t="s">
        <v>253</v>
      </c>
      <c r="B76" t="s">
        <v>243</v>
      </c>
      <c r="C76">
        <v>11</v>
      </c>
      <c r="D76" t="s">
        <v>244</v>
      </c>
      <c r="E76" t="s">
        <v>245</v>
      </c>
      <c r="F76" t="s">
        <v>16</v>
      </c>
      <c r="G76" t="s">
        <v>254</v>
      </c>
      <c r="H76" t="s">
        <v>18</v>
      </c>
      <c r="I76">
        <v>8</v>
      </c>
      <c r="J76" t="s">
        <v>72</v>
      </c>
      <c r="K76" s="3" t="s">
        <v>25</v>
      </c>
      <c r="L76" t="s">
        <v>21</v>
      </c>
    </row>
    <row r="77" spans="1:12" x14ac:dyDescent="0.25">
      <c r="A77" t="s">
        <v>255</v>
      </c>
      <c r="B77" t="s">
        <v>243</v>
      </c>
      <c r="C77">
        <v>11</v>
      </c>
      <c r="D77" t="s">
        <v>244</v>
      </c>
      <c r="E77" t="s">
        <v>245</v>
      </c>
      <c r="F77" t="s">
        <v>16</v>
      </c>
      <c r="G77" t="s">
        <v>256</v>
      </c>
      <c r="H77" t="s">
        <v>29</v>
      </c>
      <c r="I77">
        <v>12</v>
      </c>
      <c r="J77" t="s">
        <v>72</v>
      </c>
      <c r="K77" s="3" t="s">
        <v>25</v>
      </c>
      <c r="L77" t="s">
        <v>21</v>
      </c>
    </row>
    <row r="78" spans="1:12" x14ac:dyDescent="0.25">
      <c r="A78" t="s">
        <v>257</v>
      </c>
      <c r="B78" t="s">
        <v>258</v>
      </c>
      <c r="C78">
        <v>12</v>
      </c>
      <c r="D78" t="s">
        <v>259</v>
      </c>
      <c r="E78" t="s">
        <v>260</v>
      </c>
      <c r="F78" t="s">
        <v>261</v>
      </c>
      <c r="G78" t="s">
        <v>262</v>
      </c>
      <c r="H78" t="s">
        <v>148</v>
      </c>
      <c r="I78">
        <v>8</v>
      </c>
      <c r="J78" t="s">
        <v>19</v>
      </c>
      <c r="K78" s="3" t="s">
        <v>25</v>
      </c>
      <c r="L78" t="s">
        <v>21</v>
      </c>
    </row>
    <row r="79" spans="1:12" x14ac:dyDescent="0.25">
      <c r="A79" t="s">
        <v>263</v>
      </c>
      <c r="B79" t="s">
        <v>258</v>
      </c>
      <c r="C79">
        <v>12</v>
      </c>
      <c r="D79" t="s">
        <v>259</v>
      </c>
      <c r="E79" t="s">
        <v>260</v>
      </c>
      <c r="F79" t="s">
        <v>261</v>
      </c>
      <c r="G79" t="s">
        <v>264</v>
      </c>
      <c r="H79" t="s">
        <v>148</v>
      </c>
      <c r="I79">
        <v>8</v>
      </c>
      <c r="J79" t="s">
        <v>19</v>
      </c>
      <c r="K79" s="3" t="s">
        <v>25</v>
      </c>
      <c r="L79" t="s">
        <v>21</v>
      </c>
    </row>
    <row r="80" spans="1:12" x14ac:dyDescent="0.25">
      <c r="A80" t="s">
        <v>265</v>
      </c>
      <c r="B80" t="s">
        <v>258</v>
      </c>
      <c r="C80">
        <v>12</v>
      </c>
      <c r="D80" t="s">
        <v>259</v>
      </c>
      <c r="E80" t="s">
        <v>260</v>
      </c>
      <c r="F80" t="s">
        <v>266</v>
      </c>
      <c r="G80" t="s">
        <v>267</v>
      </c>
      <c r="H80" t="s">
        <v>53</v>
      </c>
      <c r="I80">
        <v>16</v>
      </c>
      <c r="J80" t="s">
        <v>19</v>
      </c>
      <c r="K80" s="3" t="s">
        <v>25</v>
      </c>
      <c r="L80" t="s">
        <v>21</v>
      </c>
    </row>
    <row r="81" spans="1:12" x14ac:dyDescent="0.25">
      <c r="A81" t="s">
        <v>268</v>
      </c>
      <c r="B81" t="s">
        <v>258</v>
      </c>
      <c r="C81">
        <v>12</v>
      </c>
      <c r="D81" t="s">
        <v>259</v>
      </c>
      <c r="E81" t="s">
        <v>260</v>
      </c>
      <c r="F81" t="s">
        <v>266</v>
      </c>
      <c r="G81" t="s">
        <v>269</v>
      </c>
      <c r="H81" t="s">
        <v>53</v>
      </c>
      <c r="I81">
        <v>8</v>
      </c>
      <c r="J81" t="s">
        <v>19</v>
      </c>
      <c r="K81" s="3" t="s">
        <v>25</v>
      </c>
      <c r="L81" t="s">
        <v>21</v>
      </c>
    </row>
    <row r="82" spans="1:12" x14ac:dyDescent="0.25">
      <c r="A82" t="s">
        <v>270</v>
      </c>
      <c r="B82" t="s">
        <v>258</v>
      </c>
      <c r="C82">
        <v>12</v>
      </c>
      <c r="D82" t="s">
        <v>259</v>
      </c>
      <c r="E82" t="s">
        <v>260</v>
      </c>
      <c r="F82" t="s">
        <v>271</v>
      </c>
      <c r="G82" t="s">
        <v>272</v>
      </c>
      <c r="H82" t="s">
        <v>155</v>
      </c>
      <c r="I82">
        <v>12</v>
      </c>
      <c r="J82" t="s">
        <v>41</v>
      </c>
      <c r="K82" s="3" t="s">
        <v>25</v>
      </c>
      <c r="L82" t="s">
        <v>21</v>
      </c>
    </row>
    <row r="83" spans="1:12" x14ac:dyDescent="0.25">
      <c r="A83" t="s">
        <v>273</v>
      </c>
      <c r="B83" t="s">
        <v>258</v>
      </c>
      <c r="C83">
        <v>12</v>
      </c>
      <c r="D83" t="s">
        <v>259</v>
      </c>
      <c r="E83" t="s">
        <v>260</v>
      </c>
      <c r="F83" t="s">
        <v>274</v>
      </c>
      <c r="G83" t="s">
        <v>275</v>
      </c>
      <c r="H83" t="s">
        <v>46</v>
      </c>
      <c r="I83">
        <v>8</v>
      </c>
      <c r="J83" t="s">
        <v>19</v>
      </c>
      <c r="K83" s="3" t="s">
        <v>25</v>
      </c>
      <c r="L83" t="s">
        <v>21</v>
      </c>
    </row>
    <row r="84" spans="1:12" x14ac:dyDescent="0.25">
      <c r="A84" t="s">
        <v>276</v>
      </c>
      <c r="B84" t="s">
        <v>277</v>
      </c>
      <c r="C84">
        <v>13</v>
      </c>
      <c r="D84" t="s">
        <v>278</v>
      </c>
      <c r="E84" t="s">
        <v>53</v>
      </c>
      <c r="F84" t="s">
        <v>279</v>
      </c>
      <c r="G84" t="s">
        <v>280</v>
      </c>
      <c r="H84" t="s">
        <v>53</v>
      </c>
      <c r="I84">
        <v>16</v>
      </c>
      <c r="J84" t="s">
        <v>145</v>
      </c>
      <c r="K84" s="3" t="s">
        <v>25</v>
      </c>
      <c r="L84" t="s">
        <v>21</v>
      </c>
    </row>
    <row r="85" spans="1:12" x14ac:dyDescent="0.25">
      <c r="A85" t="s">
        <v>281</v>
      </c>
      <c r="B85" t="s">
        <v>277</v>
      </c>
      <c r="C85">
        <v>13</v>
      </c>
      <c r="D85" t="s">
        <v>278</v>
      </c>
      <c r="E85" t="s">
        <v>53</v>
      </c>
      <c r="F85" t="s">
        <v>279</v>
      </c>
      <c r="G85" t="s">
        <v>282</v>
      </c>
      <c r="H85" t="s">
        <v>53</v>
      </c>
      <c r="I85">
        <v>16</v>
      </c>
      <c r="J85" t="s">
        <v>19</v>
      </c>
      <c r="K85" s="3" t="s">
        <v>25</v>
      </c>
      <c r="L85" t="s">
        <v>21</v>
      </c>
    </row>
    <row r="86" spans="1:12" x14ac:dyDescent="0.25">
      <c r="A86" t="s">
        <v>283</v>
      </c>
      <c r="B86" t="s">
        <v>277</v>
      </c>
      <c r="C86">
        <v>13</v>
      </c>
      <c r="D86" t="s">
        <v>278</v>
      </c>
      <c r="E86" t="s">
        <v>53</v>
      </c>
      <c r="F86" t="s">
        <v>279</v>
      </c>
      <c r="G86" t="s">
        <v>284</v>
      </c>
      <c r="H86" t="s">
        <v>53</v>
      </c>
      <c r="I86">
        <v>12</v>
      </c>
      <c r="J86" t="s">
        <v>19</v>
      </c>
      <c r="K86" s="3" t="s">
        <v>25</v>
      </c>
      <c r="L86" t="s">
        <v>21</v>
      </c>
    </row>
    <row r="87" spans="1:12" x14ac:dyDescent="0.25">
      <c r="A87" t="s">
        <v>285</v>
      </c>
      <c r="B87" t="s">
        <v>277</v>
      </c>
      <c r="C87">
        <v>13</v>
      </c>
      <c r="D87" t="s">
        <v>278</v>
      </c>
      <c r="E87" t="s">
        <v>53</v>
      </c>
      <c r="F87" t="s">
        <v>279</v>
      </c>
      <c r="G87" t="s">
        <v>286</v>
      </c>
      <c r="H87" t="s">
        <v>53</v>
      </c>
      <c r="I87">
        <v>16</v>
      </c>
      <c r="J87" t="s">
        <v>19</v>
      </c>
      <c r="K87" s="3" t="s">
        <v>25</v>
      </c>
      <c r="L87" t="s">
        <v>21</v>
      </c>
    </row>
    <row r="88" spans="1:12" x14ac:dyDescent="0.25">
      <c r="A88" t="s">
        <v>287</v>
      </c>
      <c r="B88" t="s">
        <v>277</v>
      </c>
      <c r="C88">
        <v>13</v>
      </c>
      <c r="D88" t="s">
        <v>278</v>
      </c>
      <c r="E88" t="s">
        <v>53</v>
      </c>
      <c r="F88" t="s">
        <v>279</v>
      </c>
      <c r="G88" t="s">
        <v>288</v>
      </c>
      <c r="H88" t="s">
        <v>53</v>
      </c>
      <c r="I88">
        <v>8</v>
      </c>
      <c r="J88" t="s">
        <v>41</v>
      </c>
      <c r="K88" s="3" t="s">
        <v>25</v>
      </c>
      <c r="L88" t="s">
        <v>21</v>
      </c>
    </row>
    <row r="89" spans="1:12" x14ac:dyDescent="0.25">
      <c r="A89" t="s">
        <v>289</v>
      </c>
      <c r="B89" t="s">
        <v>290</v>
      </c>
      <c r="C89">
        <v>14</v>
      </c>
      <c r="D89" t="s">
        <v>291</v>
      </c>
      <c r="E89" t="s">
        <v>53</v>
      </c>
      <c r="F89" t="s">
        <v>292</v>
      </c>
      <c r="G89" t="s">
        <v>293</v>
      </c>
      <c r="H89" t="s">
        <v>53</v>
      </c>
      <c r="I89">
        <v>8</v>
      </c>
      <c r="J89" t="s">
        <v>19</v>
      </c>
      <c r="K89" s="3" t="s">
        <v>25</v>
      </c>
      <c r="L89" t="s">
        <v>21</v>
      </c>
    </row>
    <row r="90" spans="1:12" x14ac:dyDescent="0.25">
      <c r="A90" t="s">
        <v>294</v>
      </c>
      <c r="B90" t="s">
        <v>290</v>
      </c>
      <c r="C90">
        <v>14</v>
      </c>
      <c r="D90" t="s">
        <v>291</v>
      </c>
      <c r="E90" t="s">
        <v>53</v>
      </c>
      <c r="F90" t="s">
        <v>292</v>
      </c>
      <c r="G90" t="s">
        <v>295</v>
      </c>
      <c r="H90" t="s">
        <v>53</v>
      </c>
      <c r="I90">
        <v>8</v>
      </c>
      <c r="J90" t="s">
        <v>41</v>
      </c>
      <c r="K90" s="3" t="s">
        <v>25</v>
      </c>
      <c r="L90" t="s">
        <v>21</v>
      </c>
    </row>
    <row r="91" spans="1:12" x14ac:dyDescent="0.25">
      <c r="A91" t="s">
        <v>296</v>
      </c>
      <c r="B91" t="s">
        <v>290</v>
      </c>
      <c r="C91">
        <v>14</v>
      </c>
      <c r="D91" t="s">
        <v>291</v>
      </c>
      <c r="E91" t="s">
        <v>53</v>
      </c>
      <c r="F91" t="s">
        <v>292</v>
      </c>
      <c r="G91" t="s">
        <v>297</v>
      </c>
      <c r="H91" t="s">
        <v>53</v>
      </c>
      <c r="I91">
        <v>8</v>
      </c>
      <c r="J91" t="s">
        <v>19</v>
      </c>
      <c r="K91" s="3" t="s">
        <v>25</v>
      </c>
      <c r="L91" t="s">
        <v>21</v>
      </c>
    </row>
    <row r="92" spans="1:12" x14ac:dyDescent="0.25">
      <c r="A92" t="s">
        <v>298</v>
      </c>
      <c r="B92" t="s">
        <v>290</v>
      </c>
      <c r="C92">
        <v>14</v>
      </c>
      <c r="D92" t="s">
        <v>291</v>
      </c>
      <c r="E92" t="s">
        <v>53</v>
      </c>
      <c r="F92" t="s">
        <v>299</v>
      </c>
      <c r="G92" t="s">
        <v>300</v>
      </c>
      <c r="H92" t="s">
        <v>53</v>
      </c>
      <c r="I92">
        <v>16</v>
      </c>
      <c r="J92" t="s">
        <v>145</v>
      </c>
      <c r="K92" s="3" t="s">
        <v>25</v>
      </c>
      <c r="L92" t="s">
        <v>21</v>
      </c>
    </row>
    <row r="93" spans="1:12" x14ac:dyDescent="0.25">
      <c r="A93" t="s">
        <v>301</v>
      </c>
      <c r="B93" t="s">
        <v>290</v>
      </c>
      <c r="C93">
        <v>14</v>
      </c>
      <c r="D93" t="s">
        <v>291</v>
      </c>
      <c r="E93" t="s">
        <v>53</v>
      </c>
      <c r="F93" t="s">
        <v>299</v>
      </c>
      <c r="G93" t="s">
        <v>302</v>
      </c>
      <c r="H93" t="s">
        <v>53</v>
      </c>
      <c r="I93">
        <v>4</v>
      </c>
      <c r="J93" t="s">
        <v>145</v>
      </c>
      <c r="K93" s="3" t="s">
        <v>25</v>
      </c>
      <c r="L93" t="s">
        <v>21</v>
      </c>
    </row>
    <row r="94" spans="1:12" x14ac:dyDescent="0.25">
      <c r="A94" t="s">
        <v>303</v>
      </c>
      <c r="B94" t="s">
        <v>290</v>
      </c>
      <c r="C94">
        <v>14</v>
      </c>
      <c r="D94" t="s">
        <v>291</v>
      </c>
      <c r="E94" t="s">
        <v>53</v>
      </c>
      <c r="F94" t="s">
        <v>299</v>
      </c>
      <c r="G94" t="s">
        <v>304</v>
      </c>
      <c r="H94" t="s">
        <v>53</v>
      </c>
      <c r="I94">
        <v>4</v>
      </c>
      <c r="J94" t="s">
        <v>145</v>
      </c>
      <c r="K94" s="3" t="s">
        <v>25</v>
      </c>
      <c r="L94" t="s">
        <v>21</v>
      </c>
    </row>
    <row r="95" spans="1:12" x14ac:dyDescent="0.25">
      <c r="A95" t="s">
        <v>305</v>
      </c>
      <c r="B95" t="s">
        <v>306</v>
      </c>
      <c r="C95">
        <v>15</v>
      </c>
      <c r="D95" t="s">
        <v>307</v>
      </c>
      <c r="E95" t="s">
        <v>308</v>
      </c>
      <c r="F95" t="s">
        <v>309</v>
      </c>
      <c r="G95" t="s">
        <v>310</v>
      </c>
      <c r="H95" t="s">
        <v>148</v>
      </c>
      <c r="I95">
        <v>16</v>
      </c>
      <c r="J95" t="s">
        <v>41</v>
      </c>
      <c r="K95" s="3" t="s">
        <v>25</v>
      </c>
      <c r="L95" t="s">
        <v>21</v>
      </c>
    </row>
    <row r="96" spans="1:12" x14ac:dyDescent="0.25">
      <c r="A96" t="s">
        <v>311</v>
      </c>
      <c r="B96" t="s">
        <v>306</v>
      </c>
      <c r="C96">
        <v>15</v>
      </c>
      <c r="D96" t="s">
        <v>307</v>
      </c>
      <c r="E96" t="s">
        <v>308</v>
      </c>
      <c r="F96" t="s">
        <v>312</v>
      </c>
      <c r="G96" t="s">
        <v>313</v>
      </c>
      <c r="H96" t="s">
        <v>46</v>
      </c>
      <c r="I96">
        <v>8</v>
      </c>
      <c r="J96" t="s">
        <v>41</v>
      </c>
      <c r="K96" s="3" t="s">
        <v>25</v>
      </c>
      <c r="L96" t="s">
        <v>21</v>
      </c>
    </row>
    <row r="97" spans="1:12" x14ac:dyDescent="0.25">
      <c r="A97" t="s">
        <v>314</v>
      </c>
      <c r="B97" t="s">
        <v>306</v>
      </c>
      <c r="C97">
        <v>15</v>
      </c>
      <c r="D97" t="s">
        <v>307</v>
      </c>
      <c r="E97" t="s">
        <v>308</v>
      </c>
      <c r="F97" t="s">
        <v>315</v>
      </c>
      <c r="G97" t="s">
        <v>316</v>
      </c>
      <c r="H97" t="s">
        <v>317</v>
      </c>
      <c r="I97">
        <v>8</v>
      </c>
      <c r="J97" t="s">
        <v>19</v>
      </c>
      <c r="K97" s="3" t="s">
        <v>25</v>
      </c>
      <c r="L97" t="s">
        <v>21</v>
      </c>
    </row>
    <row r="98" spans="1:12" x14ac:dyDescent="0.25">
      <c r="A98" t="s">
        <v>318</v>
      </c>
      <c r="B98" t="s">
        <v>306</v>
      </c>
      <c r="C98">
        <v>15</v>
      </c>
      <c r="D98" t="s">
        <v>307</v>
      </c>
      <c r="E98" t="s">
        <v>308</v>
      </c>
      <c r="F98" t="s">
        <v>315</v>
      </c>
      <c r="G98" t="s">
        <v>319</v>
      </c>
      <c r="H98" t="s">
        <v>250</v>
      </c>
      <c r="I98">
        <v>8</v>
      </c>
      <c r="J98" t="s">
        <v>19</v>
      </c>
      <c r="K98" s="3" t="s">
        <v>25</v>
      </c>
      <c r="L98" t="s">
        <v>21</v>
      </c>
    </row>
    <row r="99" spans="1:12" x14ac:dyDescent="0.25">
      <c r="A99" t="s">
        <v>320</v>
      </c>
      <c r="B99" t="s">
        <v>306</v>
      </c>
      <c r="C99">
        <v>16</v>
      </c>
      <c r="D99" t="s">
        <v>321</v>
      </c>
      <c r="E99" t="s">
        <v>315</v>
      </c>
      <c r="F99" t="s">
        <v>322</v>
      </c>
      <c r="G99" t="s">
        <v>323</v>
      </c>
      <c r="H99" t="s">
        <v>317</v>
      </c>
      <c r="I99">
        <v>8</v>
      </c>
      <c r="J99" t="s">
        <v>145</v>
      </c>
      <c r="K99" s="3" t="s">
        <v>25</v>
      </c>
      <c r="L99" t="s">
        <v>21</v>
      </c>
    </row>
    <row r="100" spans="1:12" x14ac:dyDescent="0.25">
      <c r="A100" t="s">
        <v>324</v>
      </c>
      <c r="B100" t="s">
        <v>306</v>
      </c>
      <c r="C100">
        <v>16</v>
      </c>
      <c r="D100" t="s">
        <v>321</v>
      </c>
      <c r="E100" t="s">
        <v>315</v>
      </c>
      <c r="F100" t="s">
        <v>322</v>
      </c>
      <c r="G100" t="s">
        <v>325</v>
      </c>
      <c r="H100" t="s">
        <v>53</v>
      </c>
      <c r="I100">
        <v>4</v>
      </c>
      <c r="J100" t="s">
        <v>145</v>
      </c>
      <c r="K100" s="3" t="s">
        <v>25</v>
      </c>
      <c r="L100" t="s">
        <v>21</v>
      </c>
    </row>
    <row r="101" spans="1:12" x14ac:dyDescent="0.25">
      <c r="A101" t="s">
        <v>326</v>
      </c>
      <c r="B101" t="s">
        <v>306</v>
      </c>
      <c r="C101">
        <v>16</v>
      </c>
      <c r="D101" t="s">
        <v>321</v>
      </c>
      <c r="E101" t="s">
        <v>315</v>
      </c>
      <c r="F101" t="s">
        <v>322</v>
      </c>
      <c r="G101" t="s">
        <v>327</v>
      </c>
      <c r="H101" t="s">
        <v>53</v>
      </c>
      <c r="I101">
        <v>4</v>
      </c>
      <c r="J101" t="s">
        <v>145</v>
      </c>
      <c r="K101" s="3" t="s">
        <v>25</v>
      </c>
      <c r="L101" t="s">
        <v>21</v>
      </c>
    </row>
    <row r="102" spans="1:12" x14ac:dyDescent="0.25">
      <c r="A102" t="s">
        <v>328</v>
      </c>
      <c r="B102" t="s">
        <v>306</v>
      </c>
      <c r="C102">
        <v>16</v>
      </c>
      <c r="D102" t="s">
        <v>321</v>
      </c>
      <c r="E102" t="s">
        <v>315</v>
      </c>
      <c r="F102" t="s">
        <v>322</v>
      </c>
      <c r="G102" t="s">
        <v>329</v>
      </c>
      <c r="H102" t="s">
        <v>53</v>
      </c>
      <c r="I102">
        <v>8</v>
      </c>
      <c r="J102" t="s">
        <v>19</v>
      </c>
      <c r="K102" s="3" t="s">
        <v>25</v>
      </c>
      <c r="L102" t="s">
        <v>21</v>
      </c>
    </row>
    <row r="103" spans="1:12" x14ac:dyDescent="0.25">
      <c r="A103" t="s">
        <v>330</v>
      </c>
      <c r="B103" t="s">
        <v>306</v>
      </c>
      <c r="C103">
        <v>16</v>
      </c>
      <c r="D103" t="s">
        <v>321</v>
      </c>
      <c r="E103" t="s">
        <v>315</v>
      </c>
      <c r="F103" t="s">
        <v>322</v>
      </c>
      <c r="G103" t="s">
        <v>331</v>
      </c>
      <c r="H103" t="s">
        <v>317</v>
      </c>
      <c r="I103">
        <v>12</v>
      </c>
      <c r="J103" t="s">
        <v>19</v>
      </c>
      <c r="K103" s="3" t="s">
        <v>25</v>
      </c>
      <c r="L103" t="s">
        <v>21</v>
      </c>
    </row>
    <row r="104" spans="1:12" x14ac:dyDescent="0.25">
      <c r="A104" t="s">
        <v>332</v>
      </c>
      <c r="B104" t="s">
        <v>306</v>
      </c>
      <c r="C104">
        <v>16</v>
      </c>
      <c r="D104" t="s">
        <v>321</v>
      </c>
      <c r="E104" t="s">
        <v>315</v>
      </c>
      <c r="F104" t="s">
        <v>322</v>
      </c>
      <c r="G104" t="s">
        <v>333</v>
      </c>
      <c r="H104" t="s">
        <v>250</v>
      </c>
      <c r="I104">
        <v>4</v>
      </c>
      <c r="J104" t="s">
        <v>145</v>
      </c>
      <c r="K104" s="3" t="s">
        <v>25</v>
      </c>
      <c r="L104" t="s">
        <v>21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60" customWidth="1"/>
    <col min="5" max="7" width="12" customWidth="1"/>
  </cols>
  <sheetData>
    <row r="1" ht="20" customHeight="1" spans="1:7" s="1" customFormat="1" x14ac:dyDescent="0.25">
      <c r="A1" s="1" t="s">
        <v>0</v>
      </c>
      <c r="B1" s="1" t="s">
        <v>4</v>
      </c>
      <c r="C1" s="1" t="s">
        <v>334</v>
      </c>
      <c r="D1" s="1" t="s">
        <v>335</v>
      </c>
      <c r="E1" s="1" t="s">
        <v>336</v>
      </c>
      <c r="F1" s="1" t="s">
        <v>50</v>
      </c>
      <c r="G1" s="1" t="s">
        <v>337</v>
      </c>
    </row>
    <row r="2" spans="1:7" x14ac:dyDescent="0.25">
      <c r="A2" t="s">
        <v>338</v>
      </c>
      <c r="B2" t="s">
        <v>339</v>
      </c>
      <c r="C2" t="s">
        <v>340</v>
      </c>
      <c r="D2" t="s">
        <v>341</v>
      </c>
      <c r="E2">
        <v>30</v>
      </c>
      <c r="F2">
        <v>3</v>
      </c>
      <c r="G2">
        <v>23</v>
      </c>
    </row>
    <row r="3" spans="1:7" x14ac:dyDescent="0.25">
      <c r="A3" t="s">
        <v>342</v>
      </c>
      <c r="B3" t="s">
        <v>343</v>
      </c>
      <c r="C3" t="s">
        <v>340</v>
      </c>
      <c r="D3" t="s">
        <v>344</v>
      </c>
      <c r="E3">
        <v>29</v>
      </c>
      <c r="F3">
        <v>5</v>
      </c>
      <c r="G3">
        <v>12</v>
      </c>
    </row>
    <row r="4" spans="1:7" x14ac:dyDescent="0.25">
      <c r="A4" t="s">
        <v>345</v>
      </c>
      <c r="B4" t="s">
        <v>346</v>
      </c>
      <c r="C4" t="s">
        <v>340</v>
      </c>
      <c r="D4" t="s">
        <v>347</v>
      </c>
      <c r="E4">
        <v>24</v>
      </c>
      <c r="F4">
        <v>4</v>
      </c>
      <c r="G4">
        <v>59</v>
      </c>
    </row>
    <row r="5" spans="1:7" x14ac:dyDescent="0.25">
      <c r="A5" t="s">
        <v>348</v>
      </c>
      <c r="B5" t="s">
        <v>349</v>
      </c>
      <c r="C5" t="s">
        <v>340</v>
      </c>
      <c r="D5" t="s">
        <v>350</v>
      </c>
      <c r="E5">
        <v>23</v>
      </c>
      <c r="F5">
        <v>5</v>
      </c>
      <c r="G5">
        <v>24</v>
      </c>
    </row>
    <row r="6" spans="1:7" x14ac:dyDescent="0.25">
      <c r="A6" t="s">
        <v>351</v>
      </c>
      <c r="B6" t="s">
        <v>352</v>
      </c>
      <c r="C6" t="s">
        <v>340</v>
      </c>
      <c r="D6" t="s">
        <v>353</v>
      </c>
      <c r="E6">
        <v>24</v>
      </c>
      <c r="F6">
        <v>4</v>
      </c>
      <c r="G6">
        <v>5</v>
      </c>
    </row>
    <row r="7" spans="1:7" x14ac:dyDescent="0.25">
      <c r="A7" t="s">
        <v>354</v>
      </c>
      <c r="B7" t="s">
        <v>355</v>
      </c>
      <c r="C7" t="s">
        <v>340</v>
      </c>
      <c r="D7" t="s">
        <v>356</v>
      </c>
      <c r="E7">
        <v>19</v>
      </c>
      <c r="F7">
        <v>5</v>
      </c>
      <c r="G7">
        <v>17</v>
      </c>
    </row>
    <row r="8" spans="1:7" x14ac:dyDescent="0.25">
      <c r="A8" t="s">
        <v>357</v>
      </c>
      <c r="B8" t="s">
        <v>358</v>
      </c>
      <c r="C8" t="s">
        <v>340</v>
      </c>
      <c r="D8" t="s">
        <v>359</v>
      </c>
      <c r="E8">
        <v>19</v>
      </c>
      <c r="F8">
        <v>2</v>
      </c>
      <c r="G8">
        <v>8</v>
      </c>
    </row>
    <row r="9" spans="1:7" x14ac:dyDescent="0.25">
      <c r="A9" t="s">
        <v>360</v>
      </c>
      <c r="B9" t="s">
        <v>361</v>
      </c>
      <c r="C9" t="s">
        <v>340</v>
      </c>
      <c r="D9" t="s">
        <v>362</v>
      </c>
      <c r="E9">
        <v>16</v>
      </c>
      <c r="F9">
        <v>3</v>
      </c>
      <c r="G9">
        <v>16</v>
      </c>
    </row>
    <row r="10" spans="1:7" x14ac:dyDescent="0.25">
      <c r="A10" t="s">
        <v>363</v>
      </c>
      <c r="B10" t="s">
        <v>364</v>
      </c>
      <c r="C10" t="s">
        <v>340</v>
      </c>
      <c r="D10" t="s">
        <v>365</v>
      </c>
      <c r="E10">
        <v>17</v>
      </c>
      <c r="F10">
        <v>1</v>
      </c>
      <c r="G10">
        <v>18</v>
      </c>
    </row>
    <row r="11" spans="1:7" x14ac:dyDescent="0.25">
      <c r="A11" t="s">
        <v>366</v>
      </c>
      <c r="B11" t="s">
        <v>367</v>
      </c>
      <c r="C11" t="s">
        <v>340</v>
      </c>
      <c r="D11" t="s">
        <v>368</v>
      </c>
      <c r="E11">
        <v>15</v>
      </c>
      <c r="F11">
        <v>4</v>
      </c>
      <c r="G11">
        <v>13</v>
      </c>
    </row>
    <row r="12" spans="1:7" x14ac:dyDescent="0.25">
      <c r="A12" t="s">
        <v>369</v>
      </c>
      <c r="B12" t="s">
        <v>370</v>
      </c>
      <c r="C12" t="s">
        <v>340</v>
      </c>
      <c r="D12" t="s">
        <v>371</v>
      </c>
      <c r="E12">
        <v>14</v>
      </c>
      <c r="F12">
        <v>4</v>
      </c>
      <c r="G12">
        <v>15</v>
      </c>
    </row>
    <row r="13" spans="1:7" x14ac:dyDescent="0.25">
      <c r="A13" t="s">
        <v>372</v>
      </c>
      <c r="B13" t="s">
        <v>373</v>
      </c>
      <c r="C13" t="s">
        <v>340</v>
      </c>
      <c r="D13" t="s">
        <v>374</v>
      </c>
      <c r="E13">
        <v>14</v>
      </c>
      <c r="F13">
        <v>1</v>
      </c>
      <c r="G13">
        <v>12</v>
      </c>
    </row>
    <row r="14" spans="1:7" x14ac:dyDescent="0.25">
      <c r="A14" t="s">
        <v>375</v>
      </c>
      <c r="B14" t="s">
        <v>376</v>
      </c>
      <c r="C14" t="s">
        <v>340</v>
      </c>
      <c r="D14" t="s">
        <v>377</v>
      </c>
      <c r="E14">
        <v>13</v>
      </c>
      <c r="F14">
        <v>2</v>
      </c>
      <c r="G14">
        <v>11</v>
      </c>
    </row>
    <row r="15" spans="1:7" x14ac:dyDescent="0.25">
      <c r="A15" t="s">
        <v>378</v>
      </c>
      <c r="B15" t="s">
        <v>379</v>
      </c>
      <c r="C15" t="s">
        <v>340</v>
      </c>
      <c r="D15" t="s">
        <v>380</v>
      </c>
      <c r="E15">
        <v>13</v>
      </c>
      <c r="F15">
        <v>2</v>
      </c>
      <c r="G15">
        <v>10</v>
      </c>
    </row>
    <row r="16" spans="1:7" x14ac:dyDescent="0.25">
      <c r="A16" t="s">
        <v>381</v>
      </c>
      <c r="B16" t="s">
        <v>115</v>
      </c>
      <c r="C16" t="s">
        <v>340</v>
      </c>
      <c r="D16" t="s">
        <v>382</v>
      </c>
      <c r="E16">
        <v>14</v>
      </c>
      <c r="F16">
        <v>1</v>
      </c>
      <c r="G16">
        <v>13</v>
      </c>
    </row>
    <row r="17" spans="1:7" x14ac:dyDescent="0.25">
      <c r="A17" t="s">
        <v>383</v>
      </c>
      <c r="B17" t="s">
        <v>384</v>
      </c>
      <c r="C17" t="s">
        <v>340</v>
      </c>
      <c r="D17" t="s">
        <v>385</v>
      </c>
      <c r="E17">
        <v>12</v>
      </c>
      <c r="F17">
        <v>3</v>
      </c>
      <c r="G17">
        <v>18</v>
      </c>
    </row>
    <row r="18" spans="1:7" x14ac:dyDescent="0.25">
      <c r="A18" t="s">
        <v>386</v>
      </c>
      <c r="B18" t="s">
        <v>118</v>
      </c>
      <c r="C18" t="s">
        <v>340</v>
      </c>
      <c r="D18" t="s">
        <v>387</v>
      </c>
      <c r="E18">
        <v>11</v>
      </c>
      <c r="F18">
        <v>1</v>
      </c>
      <c r="G18">
        <v>9</v>
      </c>
    </row>
    <row r="19" spans="1:7" x14ac:dyDescent="0.25">
      <c r="A19" t="s">
        <v>388</v>
      </c>
      <c r="B19" t="s">
        <v>121</v>
      </c>
      <c r="C19" t="s">
        <v>340</v>
      </c>
      <c r="D19" t="s">
        <v>389</v>
      </c>
      <c r="E19">
        <v>22</v>
      </c>
      <c r="F19">
        <v>1</v>
      </c>
      <c r="G19">
        <v>26</v>
      </c>
    </row>
    <row r="20" spans="1:7" x14ac:dyDescent="0.25">
      <c r="A20" t="s">
        <v>390</v>
      </c>
      <c r="B20" t="s">
        <v>51</v>
      </c>
      <c r="C20" t="s">
        <v>391</v>
      </c>
      <c r="D20" t="s">
        <v>392</v>
      </c>
      <c r="E20">
        <v>8</v>
      </c>
      <c r="F20">
        <v>1</v>
      </c>
      <c r="G20">
        <v>6</v>
      </c>
    </row>
    <row r="21" spans="1:7" x14ac:dyDescent="0.25">
      <c r="A21" t="s">
        <v>393</v>
      </c>
      <c r="B21" t="s">
        <v>55</v>
      </c>
      <c r="C21" t="s">
        <v>391</v>
      </c>
      <c r="D21" t="s">
        <v>394</v>
      </c>
      <c r="E21">
        <v>8</v>
      </c>
      <c r="F21">
        <v>1</v>
      </c>
      <c r="G21">
        <v>5</v>
      </c>
    </row>
    <row r="22" spans="1:7" x14ac:dyDescent="0.25">
      <c r="A22" t="s">
        <v>395</v>
      </c>
      <c r="B22" t="s">
        <v>58</v>
      </c>
      <c r="C22" t="s">
        <v>391</v>
      </c>
      <c r="D22" t="s">
        <v>396</v>
      </c>
      <c r="E22">
        <v>10</v>
      </c>
      <c r="F22">
        <v>1</v>
      </c>
      <c r="G22">
        <v>16</v>
      </c>
    </row>
    <row r="23" spans="1:7" x14ac:dyDescent="0.25">
      <c r="A23" t="s">
        <v>397</v>
      </c>
      <c r="B23" t="s">
        <v>398</v>
      </c>
      <c r="C23" t="s">
        <v>391</v>
      </c>
      <c r="D23" t="s">
        <v>399</v>
      </c>
      <c r="E23">
        <v>11</v>
      </c>
      <c r="F23">
        <v>2</v>
      </c>
      <c r="G23">
        <v>8</v>
      </c>
    </row>
    <row r="24" spans="1:7" x14ac:dyDescent="0.25">
      <c r="A24" t="s">
        <v>400</v>
      </c>
      <c r="B24" t="s">
        <v>61</v>
      </c>
      <c r="C24" t="s">
        <v>391</v>
      </c>
      <c r="D24" t="s">
        <v>401</v>
      </c>
      <c r="E24">
        <v>8</v>
      </c>
      <c r="F24">
        <v>1</v>
      </c>
      <c r="G24">
        <v>6</v>
      </c>
    </row>
    <row r="25" spans="1:7" x14ac:dyDescent="0.25">
      <c r="A25" t="s">
        <v>402</v>
      </c>
      <c r="B25" t="s">
        <v>64</v>
      </c>
      <c r="C25" t="s">
        <v>391</v>
      </c>
      <c r="D25" t="s">
        <v>403</v>
      </c>
      <c r="E25">
        <v>10</v>
      </c>
      <c r="F25">
        <v>1</v>
      </c>
      <c r="G25">
        <v>3</v>
      </c>
    </row>
    <row r="26" spans="1:7" x14ac:dyDescent="0.25">
      <c r="A26" t="s">
        <v>404</v>
      </c>
      <c r="B26" t="s">
        <v>67</v>
      </c>
      <c r="C26" t="s">
        <v>391</v>
      </c>
      <c r="D26" t="s">
        <v>405</v>
      </c>
      <c r="E26">
        <v>8</v>
      </c>
      <c r="F26">
        <v>1</v>
      </c>
      <c r="G26">
        <v>3</v>
      </c>
    </row>
    <row r="27" spans="1:7" x14ac:dyDescent="0.25">
      <c r="A27" t="s">
        <v>406</v>
      </c>
      <c r="B27" t="s">
        <v>70</v>
      </c>
      <c r="C27" t="s">
        <v>391</v>
      </c>
      <c r="D27" t="s">
        <v>407</v>
      </c>
      <c r="E27">
        <v>8</v>
      </c>
      <c r="F27">
        <v>1</v>
      </c>
      <c r="G27">
        <v>5</v>
      </c>
    </row>
    <row r="28" spans="1:7" x14ac:dyDescent="0.25">
      <c r="A28" t="s">
        <v>408</v>
      </c>
      <c r="B28" t="s">
        <v>74</v>
      </c>
      <c r="C28" t="s">
        <v>391</v>
      </c>
      <c r="D28" t="s">
        <v>409</v>
      </c>
      <c r="E28">
        <v>8</v>
      </c>
      <c r="F28">
        <v>1</v>
      </c>
      <c r="G28">
        <v>5</v>
      </c>
    </row>
    <row r="29" spans="1:7" x14ac:dyDescent="0.25">
      <c r="A29" t="s">
        <v>410</v>
      </c>
      <c r="B29" t="s">
        <v>411</v>
      </c>
      <c r="C29" t="s">
        <v>391</v>
      </c>
      <c r="D29" t="s">
        <v>412</v>
      </c>
      <c r="E29">
        <v>8</v>
      </c>
      <c r="F29">
        <v>1</v>
      </c>
      <c r="G29">
        <v>5</v>
      </c>
    </row>
    <row r="30" spans="1:7" x14ac:dyDescent="0.25">
      <c r="A30" t="s">
        <v>413</v>
      </c>
      <c r="B30" t="s">
        <v>77</v>
      </c>
      <c r="C30" t="s">
        <v>391</v>
      </c>
      <c r="D30" t="s">
        <v>414</v>
      </c>
      <c r="E30">
        <v>8</v>
      </c>
      <c r="F30">
        <v>1</v>
      </c>
      <c r="G30">
        <v>5</v>
      </c>
    </row>
    <row r="31" spans="1:7" x14ac:dyDescent="0.25">
      <c r="A31" t="s">
        <v>415</v>
      </c>
      <c r="B31" t="s">
        <v>80</v>
      </c>
      <c r="C31" t="s">
        <v>391</v>
      </c>
      <c r="D31" t="s">
        <v>416</v>
      </c>
      <c r="E31">
        <v>8</v>
      </c>
      <c r="F31">
        <v>1</v>
      </c>
      <c r="G31">
        <v>7</v>
      </c>
    </row>
    <row r="32" spans="1:7" x14ac:dyDescent="0.25">
      <c r="A32" t="s">
        <v>417</v>
      </c>
      <c r="B32" t="s">
        <v>418</v>
      </c>
      <c r="C32" t="s">
        <v>391</v>
      </c>
      <c r="D32" t="s">
        <v>419</v>
      </c>
      <c r="E32">
        <v>10</v>
      </c>
      <c r="F32">
        <v>2</v>
      </c>
      <c r="G32">
        <v>10</v>
      </c>
    </row>
    <row r="33" spans="1:7" x14ac:dyDescent="0.25">
      <c r="A33" t="s">
        <v>420</v>
      </c>
      <c r="B33" t="s">
        <v>91</v>
      </c>
      <c r="C33" t="s">
        <v>391</v>
      </c>
      <c r="D33" t="s">
        <v>421</v>
      </c>
      <c r="E33">
        <v>8</v>
      </c>
      <c r="F33">
        <v>1</v>
      </c>
      <c r="G33">
        <v>9</v>
      </c>
    </row>
    <row r="34" spans="1:7" x14ac:dyDescent="0.25">
      <c r="A34" t="s">
        <v>422</v>
      </c>
      <c r="B34" t="s">
        <v>83</v>
      </c>
      <c r="C34" t="s">
        <v>391</v>
      </c>
      <c r="D34" t="s">
        <v>423</v>
      </c>
      <c r="E34">
        <v>8</v>
      </c>
      <c r="F34">
        <v>1</v>
      </c>
      <c r="G34">
        <v>10</v>
      </c>
    </row>
    <row r="35" spans="1:7" x14ac:dyDescent="0.25">
      <c r="A35" t="s">
        <v>424</v>
      </c>
      <c r="B35" t="s">
        <v>94</v>
      </c>
      <c r="C35" t="s">
        <v>391</v>
      </c>
      <c r="D35" t="s">
        <v>425</v>
      </c>
      <c r="E35">
        <v>8</v>
      </c>
      <c r="F35">
        <v>1</v>
      </c>
      <c r="G35">
        <v>6</v>
      </c>
    </row>
    <row r="36" spans="1:7" x14ac:dyDescent="0.25">
      <c r="A36" t="s">
        <v>426</v>
      </c>
      <c r="B36" t="s">
        <v>86</v>
      </c>
      <c r="C36" t="s">
        <v>391</v>
      </c>
      <c r="D36" t="s">
        <v>427</v>
      </c>
      <c r="E36">
        <v>8</v>
      </c>
      <c r="F36">
        <v>1</v>
      </c>
      <c r="G36">
        <v>5</v>
      </c>
    </row>
    <row r="37" spans="1:7" x14ac:dyDescent="0.25">
      <c r="A37" t="s">
        <v>428</v>
      </c>
      <c r="B37" t="s">
        <v>97</v>
      </c>
      <c r="C37" t="s">
        <v>391</v>
      </c>
      <c r="D37" t="s">
        <v>429</v>
      </c>
      <c r="E37">
        <v>8</v>
      </c>
      <c r="F37">
        <v>1</v>
      </c>
      <c r="G37">
        <v>5</v>
      </c>
    </row>
    <row r="38" spans="1:7" x14ac:dyDescent="0.25">
      <c r="A38" t="s">
        <v>430</v>
      </c>
      <c r="B38" t="s">
        <v>100</v>
      </c>
      <c r="C38" t="s">
        <v>391</v>
      </c>
      <c r="D38" t="s">
        <v>431</v>
      </c>
      <c r="E38">
        <v>8</v>
      </c>
      <c r="F38">
        <v>1</v>
      </c>
      <c r="G38">
        <v>5</v>
      </c>
    </row>
    <row r="39" spans="1:7" x14ac:dyDescent="0.25">
      <c r="A39" t="s">
        <v>432</v>
      </c>
      <c r="B39" t="s">
        <v>103</v>
      </c>
      <c r="C39" t="s">
        <v>391</v>
      </c>
      <c r="D39" t="s">
        <v>433</v>
      </c>
      <c r="E39">
        <v>10</v>
      </c>
      <c r="F39">
        <v>1</v>
      </c>
      <c r="G39">
        <v>11</v>
      </c>
    </row>
    <row r="40" spans="1:7" x14ac:dyDescent="0.25">
      <c r="A40" t="s">
        <v>434</v>
      </c>
      <c r="B40" t="s">
        <v>106</v>
      </c>
      <c r="C40" t="s">
        <v>391</v>
      </c>
      <c r="D40" t="s">
        <v>435</v>
      </c>
      <c r="E40">
        <v>8</v>
      </c>
      <c r="F40">
        <v>1</v>
      </c>
      <c r="G40">
        <v>5</v>
      </c>
    </row>
    <row r="41" spans="1:7" x14ac:dyDescent="0.25">
      <c r="A41" t="s">
        <v>436</v>
      </c>
      <c r="B41" t="s">
        <v>109</v>
      </c>
      <c r="C41" t="s">
        <v>391</v>
      </c>
      <c r="D41" t="s">
        <v>437</v>
      </c>
      <c r="E41">
        <v>8</v>
      </c>
      <c r="F41">
        <v>1</v>
      </c>
      <c r="G41">
        <v>5</v>
      </c>
    </row>
    <row r="42" spans="1:7" x14ac:dyDescent="0.25">
      <c r="A42" t="s">
        <v>438</v>
      </c>
      <c r="B42" t="s">
        <v>112</v>
      </c>
      <c r="C42" t="s">
        <v>391</v>
      </c>
      <c r="D42" t="s">
        <v>439</v>
      </c>
      <c r="E42">
        <v>8</v>
      </c>
      <c r="F42">
        <v>1</v>
      </c>
      <c r="G42">
        <v>5</v>
      </c>
    </row>
    <row r="43" spans="1:7" x14ac:dyDescent="0.25">
      <c r="A43" t="s">
        <v>440</v>
      </c>
      <c r="B43" t="s">
        <v>15</v>
      </c>
      <c r="C43" t="s">
        <v>441</v>
      </c>
      <c r="D43" t="s">
        <v>442</v>
      </c>
      <c r="E43">
        <v>11</v>
      </c>
      <c r="F43">
        <v>2</v>
      </c>
      <c r="G43" t="s">
        <v>21</v>
      </c>
    </row>
    <row r="44" spans="1:7" x14ac:dyDescent="0.25">
      <c r="A44" t="s">
        <v>443</v>
      </c>
      <c r="B44" t="s">
        <v>23</v>
      </c>
      <c r="C44" t="s">
        <v>441</v>
      </c>
      <c r="D44" t="s">
        <v>444</v>
      </c>
      <c r="E44">
        <v>10</v>
      </c>
      <c r="F44">
        <v>1</v>
      </c>
      <c r="G44" t="s">
        <v>21</v>
      </c>
    </row>
    <row r="45" spans="1:7" x14ac:dyDescent="0.25">
      <c r="A45" t="s">
        <v>445</v>
      </c>
      <c r="B45" t="s">
        <v>31</v>
      </c>
      <c r="C45" t="s">
        <v>441</v>
      </c>
      <c r="D45" t="s">
        <v>446</v>
      </c>
      <c r="E45">
        <v>9</v>
      </c>
      <c r="F45">
        <v>1</v>
      </c>
      <c r="G45" t="s">
        <v>21</v>
      </c>
    </row>
    <row r="46" spans="1:7" x14ac:dyDescent="0.25">
      <c r="A46" t="s">
        <v>447</v>
      </c>
      <c r="B46" t="s">
        <v>36</v>
      </c>
      <c r="C46" t="s">
        <v>441</v>
      </c>
      <c r="D46" t="s">
        <v>448</v>
      </c>
      <c r="E46">
        <v>8</v>
      </c>
      <c r="F46">
        <v>1</v>
      </c>
      <c r="G46" t="s">
        <v>21</v>
      </c>
    </row>
    <row r="47" spans="1:7" x14ac:dyDescent="0.25">
      <c r="A47" t="s">
        <v>449</v>
      </c>
      <c r="B47" t="s">
        <v>39</v>
      </c>
      <c r="C47" t="s">
        <v>441</v>
      </c>
      <c r="D47" t="s">
        <v>450</v>
      </c>
      <c r="E47">
        <v>10</v>
      </c>
      <c r="F47">
        <v>2</v>
      </c>
      <c r="G47" t="s">
        <v>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customWidth="1"/>
    <col min="2" max="2" width="16" customWidth="1"/>
  </cols>
  <sheetData>
    <row r="1" spans="1:2" s="1" customFormat="1" x14ac:dyDescent="0.25">
      <c r="A1" s="1" t="s">
        <v>451</v>
      </c>
      <c r="B1" s="1" t="s">
        <v>452</v>
      </c>
    </row>
    <row r="2" spans="1:2" x14ac:dyDescent="0.25">
      <c r="A2" t="s">
        <v>453</v>
      </c>
      <c r="B2">
        <f>=COUNTA(Tareas!A2:A104)</f>
      </c>
    </row>
    <row r="3" spans="1:2" x14ac:dyDescent="0.25">
      <c r="A3" t="s">
        <v>454</v>
      </c>
      <c r="B3">
        <f>=SUM(Tareas!I2:I104)</f>
      </c>
    </row>
    <row r="4" spans="1:2" x14ac:dyDescent="0.25">
      <c r="A4" t="s">
        <v>455</v>
      </c>
      <c r="B4">
        <f>=COUNTIF(Tareas!K2:K104,"PENDIENTE")</f>
      </c>
    </row>
    <row r="5" spans="1:2" x14ac:dyDescent="0.25">
      <c r="A5" t="s">
        <v>456</v>
      </c>
      <c r="B5">
        <f>=COUNTIF(Tareas!K2:K104,"EN_PROGRESO")</f>
      </c>
    </row>
    <row r="6" spans="1:2" x14ac:dyDescent="0.25">
      <c r="A6" t="s">
        <v>457</v>
      </c>
      <c r="B6">
        <f>=COUNTIF(Tareas!K2:K104,"COMPLETADO")</f>
      </c>
    </row>
    <row r="7" spans="1:2" x14ac:dyDescent="0.25">
      <c r="A7" t="s">
        <v>458</v>
      </c>
      <c r="B7" s="4">
        <f>=IFERROR(COUNTIF(Tareas!K2:K104,"COMPLETADO")/COUNTA(Tareas!A2:A104),0)</f>
      </c>
    </row>
    <row r="8" spans="1:2" x14ac:dyDescent="0.25">
      <c r="A8" t="s">
        <v>459</v>
      </c>
      <c r="B8">
        <f>=SUMIF(Tareas!J2:J104,"CRITICA",Tareas!I2:I104)</f>
      </c>
    </row>
    <row r="9" spans="1:2" x14ac:dyDescent="0.25">
      <c r="A9" t="s">
        <v>460</v>
      </c>
      <c r="B9">
        <f>=COUNTIF(Modulos!C2:C47,"MATURE")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Tareas</vt:lpstr>
      <vt:lpstr>Modulos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cronograma-cli</dc:creator>
  <dc:title/>
  <dc:subject/>
  <dc:description/>
  <cp:keywords/>
  <cp:category/>
  <cp:lastModifiedBy>Unknown</cp:lastModifiedBy>
  <dcterms:created xsi:type="dcterms:W3CDTF">2026-07-13T02:38:32Z</dcterms:created>
  <dcterms:modified xsi:type="dcterms:W3CDTF">2026-07-13T02:38:32Z</dcterms:modified>
</cp:coreProperties>
</file>